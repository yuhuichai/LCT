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goh/Projects/7T_Josh/experimental_protocol/LCT_en/"/>
    </mc:Choice>
  </mc:AlternateContent>
  <xr:revisionPtr revIDLastSave="0" documentId="13_ncr:1_{648433D0-4B8E-8C47-8CD1-1083E369A5FF}" xr6:coauthVersionLast="47" xr6:coauthVersionMax="47" xr10:uidLastSave="{00000000-0000-0000-0000-000000000000}"/>
  <bookViews>
    <workbookView xWindow="0" yWindow="500" windowWidth="28800" windowHeight="17500" xr2:uid="{0DD2D761-1EDE-404C-A520-DD553F262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  <c r="F51" i="1"/>
  <c r="F52" i="1"/>
  <c r="F53" i="1"/>
  <c r="F54" i="1"/>
  <c r="F55" i="1"/>
  <c r="F56" i="1"/>
  <c r="F57" i="1"/>
  <c r="F50" i="1"/>
  <c r="Z1" i="1"/>
  <c r="S15" i="1"/>
  <c r="T15" i="1"/>
  <c r="U15" i="1"/>
  <c r="V15" i="1"/>
  <c r="W15" i="1"/>
  <c r="X15" i="1"/>
  <c r="Y15" i="1"/>
  <c r="Z15" i="1"/>
  <c r="AA15" i="1"/>
  <c r="R15" i="1"/>
  <c r="I55" i="1"/>
  <c r="I57" i="1"/>
  <c r="I53" i="1"/>
  <c r="I54" i="1"/>
  <c r="I56" i="1"/>
  <c r="I51" i="1"/>
  <c r="I50" i="1"/>
  <c r="I52" i="1"/>
  <c r="I45" i="1"/>
  <c r="I44" i="1"/>
  <c r="I42" i="1"/>
  <c r="I48" i="1"/>
  <c r="I49" i="1"/>
  <c r="I47" i="1"/>
  <c r="I46" i="1"/>
  <c r="I43" i="1"/>
  <c r="I41" i="1"/>
  <c r="I36" i="1"/>
  <c r="I34" i="1"/>
  <c r="I40" i="1"/>
  <c r="I35" i="1"/>
  <c r="I37" i="1"/>
  <c r="I39" i="1"/>
  <c r="I38" i="1"/>
  <c r="I32" i="1"/>
  <c r="I31" i="1"/>
  <c r="I26" i="1"/>
  <c r="I28" i="1"/>
  <c r="I27" i="1"/>
  <c r="I29" i="1"/>
  <c r="I33" i="1"/>
  <c r="I30" i="1"/>
  <c r="I23" i="1"/>
  <c r="I18" i="1"/>
  <c r="I24" i="1"/>
  <c r="I25" i="1"/>
  <c r="I21" i="1"/>
  <c r="I19" i="1"/>
  <c r="I20" i="1"/>
  <c r="I22" i="1"/>
  <c r="I10" i="1"/>
  <c r="I14" i="1"/>
  <c r="I12" i="1"/>
  <c r="I13" i="1"/>
  <c r="I15" i="1"/>
  <c r="I16" i="1"/>
  <c r="I11" i="1"/>
  <c r="I17" i="1"/>
  <c r="I4" i="1"/>
  <c r="I2" i="1"/>
  <c r="I6" i="1"/>
  <c r="I8" i="1"/>
  <c r="I7" i="1"/>
  <c r="I5" i="1"/>
  <c r="I3" i="1"/>
  <c r="I9" i="1"/>
  <c r="P15" i="1"/>
  <c r="Q15" i="1"/>
  <c r="C51" i="1" s="1"/>
  <c r="Q12" i="1"/>
  <c r="P12" i="1"/>
  <c r="AC36" i="1"/>
  <c r="AC30" i="1"/>
  <c r="AC48" i="1"/>
  <c r="AC9" i="1"/>
  <c r="AC17" i="1"/>
  <c r="AC33" i="1"/>
  <c r="AC28" i="1"/>
  <c r="AC38" i="1"/>
  <c r="AC39" i="1"/>
  <c r="AC21" i="1"/>
  <c r="AC10" i="1"/>
  <c r="AC12" i="1"/>
  <c r="AC20" i="1"/>
  <c r="AC24" i="1"/>
  <c r="AC4" i="1"/>
  <c r="AC35" i="1"/>
  <c r="AC55" i="1"/>
  <c r="AC53" i="1"/>
  <c r="AC11" i="1"/>
  <c r="AC16" i="1"/>
  <c r="AC45" i="1"/>
  <c r="AC49" i="1"/>
  <c r="AC15" i="1"/>
  <c r="AC47" i="1"/>
  <c r="AC2" i="1"/>
  <c r="AC56" i="1"/>
  <c r="AC34" i="1"/>
  <c r="AC54" i="1"/>
  <c r="AC46" i="1"/>
  <c r="AC26" i="1"/>
  <c r="AC42" i="1"/>
  <c r="AC31" i="1"/>
  <c r="AC29" i="1"/>
  <c r="AC3" i="1"/>
  <c r="AC51" i="1"/>
  <c r="AC27" i="1"/>
  <c r="AC19" i="1"/>
  <c r="AC6" i="1"/>
  <c r="AC43" i="1"/>
  <c r="AC37" i="1"/>
  <c r="AC18" i="1"/>
  <c r="AC44" i="1"/>
  <c r="AC13" i="1"/>
  <c r="AC14" i="1"/>
  <c r="AC5" i="1"/>
  <c r="AC23" i="1"/>
  <c r="AC22" i="1"/>
  <c r="AC8" i="1"/>
  <c r="AC25" i="1"/>
  <c r="AC40" i="1"/>
  <c r="AC41" i="1"/>
  <c r="AC50" i="1"/>
  <c r="AC7" i="1"/>
  <c r="AC32" i="1"/>
  <c r="AC52" i="1"/>
  <c r="AC57" i="1"/>
  <c r="S7" i="1"/>
  <c r="T7" i="1"/>
  <c r="U7" i="1"/>
  <c r="V7" i="1"/>
  <c r="W7" i="1"/>
  <c r="X7" i="1"/>
  <c r="Y7" i="1"/>
  <c r="Z7" i="1"/>
  <c r="AA7" i="1"/>
  <c r="S8" i="1"/>
  <c r="T8" i="1"/>
  <c r="U8" i="1"/>
  <c r="V8" i="1"/>
  <c r="W8" i="1"/>
  <c r="X8" i="1"/>
  <c r="Y8" i="1"/>
  <c r="Z8" i="1"/>
  <c r="AA8" i="1"/>
  <c r="S9" i="1"/>
  <c r="T9" i="1"/>
  <c r="U9" i="1"/>
  <c r="V9" i="1"/>
  <c r="W9" i="1"/>
  <c r="X9" i="1"/>
  <c r="Y9" i="1"/>
  <c r="Z9" i="1"/>
  <c r="AA9" i="1"/>
  <c r="S10" i="1"/>
  <c r="T10" i="1"/>
  <c r="U10" i="1"/>
  <c r="V10" i="1"/>
  <c r="W10" i="1"/>
  <c r="X10" i="1"/>
  <c r="Y10" i="1"/>
  <c r="Z10" i="1"/>
  <c r="AA10" i="1"/>
  <c r="S11" i="1"/>
  <c r="T11" i="1"/>
  <c r="U11" i="1"/>
  <c r="V11" i="1"/>
  <c r="W11" i="1"/>
  <c r="X11" i="1"/>
  <c r="Y11" i="1"/>
  <c r="Z11" i="1"/>
  <c r="AA11" i="1"/>
  <c r="S12" i="1"/>
  <c r="T12" i="1"/>
  <c r="U12" i="1"/>
  <c r="V12" i="1"/>
  <c r="W12" i="1"/>
  <c r="X12" i="1"/>
  <c r="Y12" i="1"/>
  <c r="Z12" i="1"/>
  <c r="AA12" i="1"/>
  <c r="S13" i="1"/>
  <c r="T13" i="1"/>
  <c r="U13" i="1"/>
  <c r="V13" i="1"/>
  <c r="W13" i="1"/>
  <c r="X13" i="1"/>
  <c r="Y13" i="1"/>
  <c r="Z13" i="1"/>
  <c r="AA13" i="1"/>
  <c r="S14" i="1"/>
  <c r="T14" i="1"/>
  <c r="U14" i="1"/>
  <c r="V14" i="1"/>
  <c r="W14" i="1"/>
  <c r="X14" i="1"/>
  <c r="Y14" i="1"/>
  <c r="Z14" i="1"/>
  <c r="AA14" i="1"/>
  <c r="R14" i="1"/>
  <c r="R13" i="1"/>
  <c r="R12" i="1"/>
  <c r="R11" i="1"/>
  <c r="R10" i="1"/>
  <c r="R9" i="1"/>
  <c r="R8" i="1"/>
  <c r="R7" i="1"/>
  <c r="A21" i="1"/>
  <c r="B21" i="1" s="1"/>
  <c r="A22" i="1"/>
  <c r="B22" i="1" s="1"/>
  <c r="A23" i="1"/>
  <c r="B23" i="1" s="1"/>
  <c r="A24" i="1"/>
  <c r="B24" i="1" s="1"/>
  <c r="A25" i="1"/>
  <c r="B25" i="1" s="1"/>
  <c r="C11" i="1"/>
  <c r="C12" i="1"/>
  <c r="C13" i="1"/>
  <c r="C14" i="1"/>
  <c r="C15" i="1"/>
  <c r="C16" i="1"/>
  <c r="C17" i="1"/>
  <c r="O12" i="1"/>
  <c r="N12" i="1"/>
  <c r="M12" i="1"/>
  <c r="Q13" i="1"/>
  <c r="Q14" i="1"/>
  <c r="Q10" i="1"/>
  <c r="Q11" i="1"/>
  <c r="P14" i="1"/>
  <c r="P13" i="1"/>
  <c r="P10" i="1"/>
  <c r="O14" i="1"/>
  <c r="O15" i="1" s="1"/>
  <c r="N14" i="1"/>
  <c r="N15" i="1" s="1"/>
  <c r="A34" i="1"/>
  <c r="B34" i="1" s="1"/>
  <c r="O11" i="1"/>
  <c r="N11" i="1"/>
  <c r="O8" i="1"/>
  <c r="O9" i="1" s="1"/>
  <c r="N8" i="1"/>
  <c r="A6" i="1" s="1"/>
  <c r="B6" i="1" s="1"/>
  <c r="A19" i="1"/>
  <c r="C3" i="1"/>
  <c r="C4" i="1"/>
  <c r="C5" i="1"/>
  <c r="C6" i="1"/>
  <c r="C7" i="1"/>
  <c r="C8" i="1"/>
  <c r="C9" i="1"/>
  <c r="C10" i="1"/>
  <c r="C2" i="1"/>
  <c r="A2" i="1"/>
  <c r="B2" i="1" s="1"/>
  <c r="A3" i="1"/>
  <c r="B3" i="1" s="1"/>
  <c r="A4" i="1"/>
  <c r="B4" i="1" s="1"/>
  <c r="A20" i="1"/>
  <c r="B20" i="1" s="1"/>
  <c r="M8" i="1"/>
  <c r="M9" i="1"/>
  <c r="M13" i="1"/>
  <c r="M14" i="1"/>
  <c r="M15" i="1"/>
  <c r="M10" i="1"/>
  <c r="M11" i="1"/>
  <c r="M7" i="1"/>
  <c r="C50" i="1" l="1"/>
  <c r="A50" i="1"/>
  <c r="B50" i="1" s="1"/>
  <c r="C43" i="1"/>
  <c r="A51" i="1"/>
  <c r="B51" i="1" s="1"/>
  <c r="C49" i="1"/>
  <c r="C45" i="1"/>
  <c r="C44" i="1"/>
  <c r="C47" i="1"/>
  <c r="A27" i="1"/>
  <c r="B27" i="1" s="1"/>
  <c r="C46" i="1"/>
  <c r="A49" i="1"/>
  <c r="B49" i="1" s="1"/>
  <c r="C48" i="1"/>
  <c r="D6" i="1"/>
  <c r="D4" i="1"/>
  <c r="D3" i="1"/>
  <c r="D2" i="1"/>
  <c r="A45" i="1"/>
  <c r="B45" i="1" s="1"/>
  <c r="A46" i="1"/>
  <c r="A48" i="1"/>
  <c r="B48" i="1" s="1"/>
  <c r="A44" i="1"/>
  <c r="A47" i="1"/>
  <c r="B47" i="1" s="1"/>
  <c r="A43" i="1"/>
  <c r="A26" i="1"/>
  <c r="B26" i="1" s="1"/>
  <c r="C26" i="1"/>
  <c r="A28" i="1"/>
  <c r="B28" i="1" s="1"/>
  <c r="C25" i="1"/>
  <c r="D25" i="1" s="1"/>
  <c r="C23" i="1"/>
  <c r="D23" i="1" s="1"/>
  <c r="C28" i="1"/>
  <c r="A29" i="1"/>
  <c r="B29" i="1" s="1"/>
  <c r="C27" i="1"/>
  <c r="C24" i="1"/>
  <c r="D24" i="1" s="1"/>
  <c r="C22" i="1"/>
  <c r="D22" i="1" s="1"/>
  <c r="C21" i="1"/>
  <c r="D21" i="1" s="1"/>
  <c r="C29" i="1"/>
  <c r="A12" i="1"/>
  <c r="B12" i="1" s="1"/>
  <c r="A16" i="1"/>
  <c r="B16" i="1" s="1"/>
  <c r="A13" i="1"/>
  <c r="B13" i="1" s="1"/>
  <c r="A15" i="1"/>
  <c r="B15" i="1" s="1"/>
  <c r="A17" i="1"/>
  <c r="B17" i="1" s="1"/>
  <c r="A14" i="1"/>
  <c r="B14" i="1" s="1"/>
  <c r="A11" i="1"/>
  <c r="B11" i="1" s="1"/>
  <c r="N9" i="1"/>
  <c r="A5" i="1"/>
  <c r="B5" i="1" s="1"/>
  <c r="A10" i="1"/>
  <c r="D10" i="1" s="1"/>
  <c r="A36" i="1"/>
  <c r="B36" i="1" s="1"/>
  <c r="A35" i="1"/>
  <c r="B35" i="1" s="1"/>
  <c r="A7" i="1"/>
  <c r="B7" i="1" s="1"/>
  <c r="A18" i="1"/>
  <c r="B18" i="1" s="1"/>
  <c r="A9" i="1"/>
  <c r="B19" i="1"/>
  <c r="A8" i="1"/>
  <c r="B8" i="1" s="1"/>
  <c r="A57" i="1"/>
  <c r="B57" i="1" s="1"/>
  <c r="A31" i="1"/>
  <c r="B31" i="1" s="1"/>
  <c r="A33" i="1"/>
  <c r="B33" i="1" s="1"/>
  <c r="A56" i="1"/>
  <c r="B56" i="1" s="1"/>
  <c r="A32" i="1"/>
  <c r="B32" i="1" s="1"/>
  <c r="D50" i="1" l="1"/>
  <c r="D51" i="1"/>
  <c r="D44" i="1"/>
  <c r="D46" i="1"/>
  <c r="D49" i="1"/>
  <c r="D27" i="1"/>
  <c r="D28" i="1"/>
  <c r="D14" i="1"/>
  <c r="D12" i="1"/>
  <c r="D13" i="1"/>
  <c r="D8" i="1"/>
  <c r="D45" i="1"/>
  <c r="D26" i="1"/>
  <c r="D15" i="1"/>
  <c r="D7" i="1"/>
  <c r="B43" i="1"/>
  <c r="D43" i="1"/>
  <c r="D11" i="1"/>
  <c r="D16" i="1"/>
  <c r="D29" i="1"/>
  <c r="D17" i="1"/>
  <c r="D5" i="1"/>
  <c r="B9" i="1"/>
  <c r="D9" i="1"/>
  <c r="D48" i="1"/>
  <c r="D47" i="1"/>
  <c r="B10" i="1"/>
  <c r="B44" i="1"/>
  <c r="B46" i="1"/>
  <c r="A30" i="1"/>
  <c r="B30" i="1" s="1"/>
  <c r="A55" i="1" l="1"/>
  <c r="B55" i="1" s="1"/>
  <c r="A52" i="1" l="1"/>
  <c r="B52" i="1" s="1"/>
  <c r="A53" i="1"/>
  <c r="B53" i="1" s="1"/>
  <c r="A54" i="1"/>
  <c r="B54" i="1" s="1"/>
  <c r="A38" i="1" l="1"/>
  <c r="B38" i="1" s="1"/>
  <c r="A39" i="1"/>
  <c r="B39" i="1" s="1"/>
  <c r="A37" i="1"/>
  <c r="B37" i="1" s="1"/>
  <c r="A41" i="1" l="1"/>
  <c r="B41" i="1" s="1"/>
  <c r="A42" i="1"/>
  <c r="B42" i="1" s="1"/>
  <c r="A40" i="1"/>
  <c r="B40" i="1" s="1"/>
  <c r="C18" i="1"/>
  <c r="C19" i="1"/>
  <c r="D19" i="1" s="1"/>
  <c r="C20" i="1"/>
  <c r="D20" i="1" s="1"/>
  <c r="C30" i="1"/>
  <c r="D30" i="1" s="1"/>
  <c r="C31" i="1"/>
  <c r="D31" i="1" s="1"/>
  <c r="C32" i="1"/>
  <c r="D32" i="1" s="1"/>
  <c r="C33" i="1"/>
  <c r="D33" i="1" s="1"/>
  <c r="C53" i="1"/>
  <c r="D53" i="1" s="1"/>
  <c r="D18" i="1" l="1"/>
  <c r="C54" i="1"/>
  <c r="D54" i="1" s="1"/>
  <c r="C52" i="1"/>
  <c r="D52" i="1" s="1"/>
  <c r="C57" i="1"/>
  <c r="D57" i="1" s="1"/>
  <c r="C56" i="1"/>
  <c r="D56" i="1" s="1"/>
  <c r="C55" i="1"/>
  <c r="D55" i="1" s="1"/>
  <c r="C40" i="1"/>
  <c r="D40" i="1" s="1"/>
  <c r="C42" i="1"/>
  <c r="D42" i="1" s="1"/>
  <c r="C41" i="1"/>
  <c r="D41" i="1" s="1"/>
  <c r="C37" i="1"/>
  <c r="D37" i="1" s="1"/>
  <c r="C38" i="1"/>
  <c r="D38" i="1" s="1"/>
  <c r="C39" i="1"/>
  <c r="D39" i="1" s="1"/>
  <c r="C34" i="1"/>
  <c r="D34" i="1" s="1"/>
  <c r="C35" i="1"/>
  <c r="D35" i="1" s="1"/>
  <c r="C36" i="1"/>
  <c r="D36" i="1" s="1"/>
  <c r="N3" i="1" l="1"/>
  <c r="N4" i="1" s="1"/>
  <c r="R3" i="1" l="1"/>
</calcChain>
</file>

<file path=xl/sharedStrings.xml><?xml version="1.0" encoding="utf-8"?>
<sst xmlns="http://schemas.openxmlformats.org/spreadsheetml/2006/main" count="167" uniqueCount="53">
  <si>
    <t>Win</t>
    <phoneticPr fontId="0" type="noConversion"/>
  </si>
  <si>
    <t>Lose</t>
    <phoneticPr fontId="0" type="noConversion"/>
  </si>
  <si>
    <t>Value</t>
    <phoneticPr fontId="0" type="noConversion"/>
  </si>
  <si>
    <t>RealValue</t>
    <phoneticPr fontId="0" type="noConversion"/>
  </si>
  <si>
    <t>Label</t>
    <phoneticPr fontId="0" type="noConversion"/>
  </si>
  <si>
    <t>ITIDur1</t>
    <phoneticPr fontId="0" type="noConversion"/>
  </si>
  <si>
    <t>ITIDur2</t>
    <phoneticPr fontId="0" type="noConversion"/>
  </si>
  <si>
    <t>ProbMM_valueL</t>
  </si>
  <si>
    <t>ProbMM_valueH</t>
  </si>
  <si>
    <t>ProbLL_valueL</t>
  </si>
  <si>
    <t>ProbHH_valueH</t>
  </si>
  <si>
    <t>ProbLL_valueH</t>
  </si>
  <si>
    <t>ProbHH_valueL</t>
  </si>
  <si>
    <t>Feedback Duration (s)</t>
  </si>
  <si>
    <t>No. of trials</t>
  </si>
  <si>
    <t>No. of ea.</t>
  </si>
  <si>
    <t>Condition</t>
  </si>
  <si>
    <t>min(p(win))</t>
  </si>
  <si>
    <t>min(v)</t>
  </si>
  <si>
    <t>max(v)</t>
  </si>
  <si>
    <t>max(p(win))</t>
  </si>
  <si>
    <t>No. of ITI type</t>
  </si>
  <si>
    <t>ProbMM_valueSH</t>
  </si>
  <si>
    <t>ProbHH_valueSH</t>
  </si>
  <si>
    <t>ProbLL_valueSH</t>
  </si>
  <si>
    <t>% salient trials</t>
  </si>
  <si>
    <t>Total time (s)</t>
  </si>
  <si>
    <t>Win</t>
  </si>
  <si>
    <t>Lose</t>
  </si>
  <si>
    <t>Value</t>
  </si>
  <si>
    <t>RealValue</t>
  </si>
  <si>
    <t>Label</t>
  </si>
  <si>
    <t>ITIDur1</t>
  </si>
  <si>
    <t>ITIDur2</t>
  </si>
  <si>
    <t xml:space="preserve">To generate a new set:      </t>
  </si>
  <si>
    <t>Rand</t>
  </si>
  <si>
    <t>Grp</t>
  </si>
  <si>
    <t>2. Sort by Grp then by Rand</t>
  </si>
  <si>
    <t>1. Select columns G to I.</t>
  </si>
  <si>
    <t>3. Examine ITIDur2 distribution, repeat 1-2 if biased.</t>
  </si>
  <si>
    <t>4. Copy columns A to G.</t>
  </si>
  <si>
    <t xml:space="preserve">6. Select "Paste Special" -&gt; "Values &amp; Source Formatting" from mouse menu. </t>
  </si>
  <si>
    <t xml:space="preserve">8. Select columns AB to AI. </t>
  </si>
  <si>
    <t>9. Sort by Rand. Index (column AB).</t>
  </si>
  <si>
    <t>10. Examine for order distribution, repeat 8-9 if biased.</t>
  </si>
  <si>
    <t>11. Copy columns AC to AI.</t>
  </si>
  <si>
    <t>12. Paste to new Excel sheet referred to by PsychoPy LCT psyexp file.</t>
  </si>
  <si>
    <t>ChoiceDur</t>
  </si>
  <si>
    <t>Std. Choice Duration (s)</t>
  </si>
  <si>
    <t>Sal. Choice Duration (s)</t>
  </si>
  <si>
    <t>Force reset</t>
  </si>
  <si>
    <t xml:space="preserve">5. Right click AD1. </t>
  </si>
  <si>
    <t>7. Examine for number distribution, repeat 5-6 if biased.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</si>
</sst>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0" xfId="0" applyFill="1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20"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</dxfs>
  <tableStyles count="0" defaultTableStyle="TableStyleMedium2" defaultPivotStyle="PivotStyleLight16"/>
  <colors>
    <mruColors>
      <color rgb="FFFF0000"/>
      <color rgb="FF0432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68C2-0DD1-2446-A1CF-F2409E61EF97}">
  <dimension ref="A1:AK67"/>
  <sheetViews>
    <sheetView tabSelected="1" zoomScale="90" zoomScaleNormal="90" workbookViewId="0">
      <selection activeCell="M34" sqref="M34"/>
    </sheetView>
  </sheetViews>
  <sheetFormatPr baseColWidth="10" defaultRowHeight="16" x14ac:dyDescent="0.2"/>
  <cols>
    <col min="1" max="2" width="8.33203125" bestFit="1" customWidth="1"/>
    <col min="3" max="3" width="5.83203125" bestFit="1" customWidth="1"/>
    <col min="4" max="4" width="9.5" bestFit="1" customWidth="1"/>
    <col min="5" max="5" width="15.1640625" bestFit="1" customWidth="1"/>
    <col min="6" max="6" width="10.1640625" bestFit="1" customWidth="1"/>
    <col min="7" max="8" width="7" bestFit="1" customWidth="1"/>
    <col min="9" max="9" width="6.1640625" customWidth="1"/>
    <col min="10" max="10" width="4.1640625" bestFit="1" customWidth="1"/>
    <col min="11" max="11" width="1.83203125" customWidth="1"/>
    <col min="12" max="12" width="19.5" bestFit="1" customWidth="1"/>
    <col min="13" max="13" width="9.1640625" bestFit="1" customWidth="1"/>
    <col min="14" max="14" width="13.33203125" bestFit="1" customWidth="1"/>
    <col min="15" max="15" width="11.5" bestFit="1" customWidth="1"/>
    <col min="16" max="16" width="6.6640625" bestFit="1" customWidth="1"/>
    <col min="17" max="17" width="7.1640625" bestFit="1" customWidth="1"/>
    <col min="18" max="18" width="3.1640625" bestFit="1" customWidth="1"/>
    <col min="19" max="26" width="2.1640625" bestFit="1" customWidth="1"/>
    <col min="27" max="27" width="3.1640625" bestFit="1" customWidth="1"/>
    <col min="28" max="28" width="2.5" customWidth="1"/>
    <col min="29" max="29" width="6" customWidth="1"/>
    <col min="30" max="31" width="8.33203125" bestFit="1" customWidth="1"/>
    <col min="32" max="32" width="5.83203125" bestFit="1" customWidth="1"/>
    <col min="33" max="33" width="9.5" bestFit="1" customWidth="1"/>
    <col min="34" max="34" width="15.1640625" bestFit="1" customWidth="1"/>
    <col min="35" max="35" width="10.1640625" bestFit="1" customWidth="1"/>
    <col min="36" max="37" width="7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5</v>
      </c>
      <c r="H1" s="1" t="s">
        <v>6</v>
      </c>
      <c r="I1" s="2" t="s">
        <v>35</v>
      </c>
      <c r="J1" s="2" t="s">
        <v>36</v>
      </c>
      <c r="L1" s="28" t="s">
        <v>48</v>
      </c>
      <c r="M1" s="28"/>
      <c r="N1" s="26">
        <v>3</v>
      </c>
      <c r="O1" s="29" t="s">
        <v>49</v>
      </c>
      <c r="P1" s="29"/>
      <c r="Q1" s="29"/>
      <c r="R1" s="20">
        <v>1.5</v>
      </c>
      <c r="S1" s="20"/>
      <c r="T1" s="3"/>
      <c r="U1" s="29" t="s">
        <v>50</v>
      </c>
      <c r="V1" s="29"/>
      <c r="W1" s="29"/>
      <c r="X1" s="29"/>
      <c r="Y1" s="29"/>
      <c r="Z1" s="27">
        <f ca="1">RAND()</f>
        <v>0.92853697213239106</v>
      </c>
      <c r="AA1" s="27"/>
      <c r="AC1" s="2" t="s">
        <v>35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47</v>
      </c>
      <c r="AJ1" s="1" t="s">
        <v>32</v>
      </c>
      <c r="AK1" s="1" t="s">
        <v>33</v>
      </c>
    </row>
    <row r="2" spans="1:37" x14ac:dyDescent="0.2">
      <c r="A2" s="1">
        <f ca="1">RANDBETWEEN(VLOOKUP(E2,$L$7:$Q$15,3),VLOOKUP(E2,$L$7:$Q$15,4))</f>
        <v>94</v>
      </c>
      <c r="B2" s="1">
        <f t="shared" ref="B2:B27" ca="1" si="0">100-A2</f>
        <v>6</v>
      </c>
      <c r="C2" s="1">
        <f ca="1">RANDBETWEEN(VLOOKUP(E2,$L$7:$Q$15,5),VLOOKUP(E2,$L$7:$Q$15,6))</f>
        <v>87</v>
      </c>
      <c r="D2" s="1">
        <f ca="1">C2*IF(RAND()&gt;(A2/100),-1,1)</f>
        <v>87</v>
      </c>
      <c r="E2" s="13" t="s">
        <v>10</v>
      </c>
      <c r="F2" s="13">
        <f>$N$1</f>
        <v>3</v>
      </c>
      <c r="G2" s="1">
        <v>1</v>
      </c>
      <c r="H2" s="1">
        <v>1</v>
      </c>
      <c r="I2">
        <f ca="1">RAND()</f>
        <v>0.12070172327725637</v>
      </c>
      <c r="J2">
        <v>1</v>
      </c>
      <c r="L2" s="29" t="s">
        <v>13</v>
      </c>
      <c r="M2" s="29"/>
      <c r="N2" s="19">
        <v>1.5</v>
      </c>
      <c r="AC2">
        <f ca="1">RAND()</f>
        <v>7.6015158077655687E-2</v>
      </c>
      <c r="AD2" s="1">
        <v>45</v>
      </c>
      <c r="AE2" s="1">
        <v>55</v>
      </c>
      <c r="AF2" s="1">
        <v>84</v>
      </c>
      <c r="AG2" s="1">
        <v>84</v>
      </c>
      <c r="AH2" s="17" t="s">
        <v>8</v>
      </c>
      <c r="AI2" s="13">
        <v>3</v>
      </c>
      <c r="AJ2" s="1">
        <v>2</v>
      </c>
      <c r="AK2" s="1">
        <v>1</v>
      </c>
    </row>
    <row r="3" spans="1:37" x14ac:dyDescent="0.2">
      <c r="A3" s="1">
        <f ca="1">RANDBETWEEN(VLOOKUP(E3,$L$7:$Q$15,3),VLOOKUP(E3,$L$7:$Q$15,4))</f>
        <v>80</v>
      </c>
      <c r="B3" s="1">
        <f t="shared" ca="1" si="0"/>
        <v>20</v>
      </c>
      <c r="C3" s="1">
        <f ca="1">RANDBETWEEN(VLOOKUP(E3,$L$7:$Q$15,5),VLOOKUP(E3,$L$7:$Q$15,6))</f>
        <v>84</v>
      </c>
      <c r="D3" s="1">
        <f t="shared" ref="D3:D56" ca="1" si="1">C3*IF(RAND()&gt;(A3/100),-1,1)</f>
        <v>84</v>
      </c>
      <c r="E3" s="13" t="s">
        <v>10</v>
      </c>
      <c r="F3" s="13">
        <f t="shared" ref="F3:F49" si="2">$N$1</f>
        <v>3</v>
      </c>
      <c r="G3" s="1">
        <v>1</v>
      </c>
      <c r="H3" s="1">
        <v>4</v>
      </c>
      <c r="I3">
        <f ca="1">RAND()</f>
        <v>0.9442184931745714</v>
      </c>
      <c r="J3">
        <v>1</v>
      </c>
      <c r="L3" s="29" t="s">
        <v>14</v>
      </c>
      <c r="M3" s="29"/>
      <c r="N3" s="19">
        <f ca="1">COUNT($C2:$C57)</f>
        <v>56</v>
      </c>
      <c r="O3" s="30" t="s">
        <v>25</v>
      </c>
      <c r="P3" s="30"/>
      <c r="Q3" s="30"/>
      <c r="R3" s="25">
        <f ca="1">(M9+M12+M15)/N3</f>
        <v>0.14285714285714285</v>
      </c>
      <c r="S3" s="25"/>
      <c r="AC3">
        <f ca="1">RAND()</f>
        <v>0.58455266484596446</v>
      </c>
      <c r="AD3" s="1">
        <v>8</v>
      </c>
      <c r="AE3" s="1">
        <v>92</v>
      </c>
      <c r="AF3" s="1">
        <v>16</v>
      </c>
      <c r="AG3" s="1">
        <v>-16</v>
      </c>
      <c r="AH3" s="16" t="s">
        <v>9</v>
      </c>
      <c r="AI3" s="13">
        <v>3</v>
      </c>
      <c r="AJ3" s="1">
        <v>2</v>
      </c>
      <c r="AK3" s="1">
        <v>1</v>
      </c>
    </row>
    <row r="4" spans="1:37" x14ac:dyDescent="0.2">
      <c r="A4" s="1">
        <f ca="1">RANDBETWEEN(VLOOKUP(E4,$L$7:$Q$15,3),VLOOKUP(E4,$L$7:$Q$15,4))</f>
        <v>88</v>
      </c>
      <c r="B4" s="1">
        <f t="shared" ca="1" si="0"/>
        <v>12</v>
      </c>
      <c r="C4" s="1">
        <f ca="1">RANDBETWEEN(VLOOKUP(E4,$L$7:$Q$15,5),VLOOKUP(E4,$L$7:$Q$15,6))</f>
        <v>84</v>
      </c>
      <c r="D4" s="1">
        <f t="shared" ca="1" si="1"/>
        <v>84</v>
      </c>
      <c r="E4" s="13" t="s">
        <v>10</v>
      </c>
      <c r="F4" s="13">
        <f t="shared" si="2"/>
        <v>3</v>
      </c>
      <c r="G4" s="1">
        <v>1</v>
      </c>
      <c r="H4" s="1">
        <v>1</v>
      </c>
      <c r="I4">
        <f ca="1">RAND()</f>
        <v>0.30872577615776986</v>
      </c>
      <c r="J4">
        <v>1</v>
      </c>
      <c r="L4" s="29" t="s">
        <v>26</v>
      </c>
      <c r="M4" s="29"/>
      <c r="N4" s="19">
        <f ca="1">(N1+N2)*N3+SUM(G2:H57)+40</f>
        <v>572</v>
      </c>
      <c r="AC4">
        <f ca="1">RAND()</f>
        <v>0.53417520219244641</v>
      </c>
      <c r="AD4" s="1">
        <v>20</v>
      </c>
      <c r="AE4" s="1">
        <v>80</v>
      </c>
      <c r="AF4" s="1">
        <v>15</v>
      </c>
      <c r="AG4" s="1">
        <v>-15</v>
      </c>
      <c r="AH4" s="16" t="s">
        <v>9</v>
      </c>
      <c r="AI4" s="13">
        <v>3</v>
      </c>
      <c r="AJ4" s="1">
        <v>2</v>
      </c>
      <c r="AK4" s="1">
        <v>4</v>
      </c>
    </row>
    <row r="5" spans="1:37" x14ac:dyDescent="0.2">
      <c r="A5" s="1">
        <f ca="1">RANDBETWEEN(VLOOKUP(E5,$L$7:$Q$15,3),VLOOKUP(E5,$L$7:$Q$15,4))</f>
        <v>80</v>
      </c>
      <c r="B5" s="1">
        <f t="shared" ca="1" si="0"/>
        <v>20</v>
      </c>
      <c r="C5" s="1">
        <f ca="1">RANDBETWEEN(VLOOKUP(E5,$L$7:$Q$15,5),VLOOKUP(E5,$L$7:$Q$15,6))</f>
        <v>91</v>
      </c>
      <c r="D5" s="1">
        <f t="shared" ca="1" si="1"/>
        <v>91</v>
      </c>
      <c r="E5" s="13" t="s">
        <v>10</v>
      </c>
      <c r="F5" s="13">
        <f t="shared" si="2"/>
        <v>3</v>
      </c>
      <c r="G5" s="1">
        <v>2</v>
      </c>
      <c r="H5" s="1">
        <v>3</v>
      </c>
      <c r="I5">
        <f ca="1">RAND()</f>
        <v>0.72302524114163835</v>
      </c>
      <c r="J5">
        <v>1</v>
      </c>
      <c r="R5" s="21" t="s">
        <v>21</v>
      </c>
      <c r="S5" s="21"/>
      <c r="T5" s="21"/>
      <c r="U5" s="21"/>
      <c r="V5" s="21"/>
      <c r="W5" s="21"/>
      <c r="X5" s="21"/>
      <c r="Y5" s="21"/>
      <c r="Z5" s="21"/>
      <c r="AA5" s="21"/>
      <c r="AC5">
        <f ca="1">RAND()</f>
        <v>0.48514379827659204</v>
      </c>
      <c r="AD5" s="1">
        <v>48</v>
      </c>
      <c r="AE5" s="1">
        <v>52</v>
      </c>
      <c r="AF5" s="1">
        <v>16</v>
      </c>
      <c r="AG5" s="1">
        <v>16</v>
      </c>
      <c r="AH5" s="18" t="s">
        <v>7</v>
      </c>
      <c r="AI5" s="13">
        <v>3</v>
      </c>
      <c r="AJ5" s="1">
        <v>2</v>
      </c>
      <c r="AK5" s="1">
        <v>1</v>
      </c>
    </row>
    <row r="6" spans="1:37" x14ac:dyDescent="0.2">
      <c r="A6" s="1">
        <f ca="1">RANDBETWEEN(VLOOKUP(E6,$L$7:$Q$15,3),VLOOKUP(E6,$L$7:$Q$15,4))</f>
        <v>78</v>
      </c>
      <c r="B6" s="1">
        <f t="shared" ca="1" si="0"/>
        <v>22</v>
      </c>
      <c r="C6" s="1">
        <f ca="1">RANDBETWEEN(VLOOKUP(E6,$L$7:$Q$15,5),VLOOKUP(E6,$L$7:$Q$15,6))</f>
        <v>84</v>
      </c>
      <c r="D6" s="1">
        <f t="shared" ca="1" si="1"/>
        <v>84</v>
      </c>
      <c r="E6" s="13" t="s">
        <v>10</v>
      </c>
      <c r="F6" s="13">
        <f t="shared" si="2"/>
        <v>3</v>
      </c>
      <c r="G6" s="1">
        <v>2</v>
      </c>
      <c r="H6" s="1">
        <v>1</v>
      </c>
      <c r="I6">
        <f ca="1">RAND()</f>
        <v>0.83737561990838327</v>
      </c>
      <c r="J6">
        <v>1</v>
      </c>
      <c r="L6" s="2" t="s">
        <v>16</v>
      </c>
      <c r="M6" s="2" t="s">
        <v>15</v>
      </c>
      <c r="N6" s="2" t="s">
        <v>17</v>
      </c>
      <c r="O6" s="2" t="s">
        <v>20</v>
      </c>
      <c r="P6" s="2" t="s">
        <v>18</v>
      </c>
      <c r="Q6" s="2" t="s">
        <v>19</v>
      </c>
      <c r="R6" s="2">
        <v>1</v>
      </c>
      <c r="S6" s="2">
        <v>2</v>
      </c>
      <c r="T6" s="2">
        <v>3</v>
      </c>
      <c r="U6" s="2">
        <v>4</v>
      </c>
      <c r="V6" s="2">
        <v>5</v>
      </c>
      <c r="W6" s="2">
        <v>6</v>
      </c>
      <c r="X6" s="2">
        <v>7</v>
      </c>
      <c r="Y6" s="2">
        <v>8</v>
      </c>
      <c r="Z6" s="2">
        <v>9</v>
      </c>
      <c r="AA6" s="2">
        <v>10</v>
      </c>
      <c r="AC6">
        <f ca="1">RAND()</f>
        <v>0.75163413414299318</v>
      </c>
      <c r="AD6" s="1">
        <v>56</v>
      </c>
      <c r="AE6" s="1">
        <v>44</v>
      </c>
      <c r="AF6" s="1">
        <v>16</v>
      </c>
      <c r="AG6" s="1">
        <v>-16</v>
      </c>
      <c r="AH6" s="18" t="s">
        <v>7</v>
      </c>
      <c r="AI6" s="13">
        <v>3</v>
      </c>
      <c r="AJ6" s="1">
        <v>1</v>
      </c>
      <c r="AK6" s="1">
        <v>4</v>
      </c>
    </row>
    <row r="7" spans="1:37" x14ac:dyDescent="0.2">
      <c r="A7" s="1">
        <f ca="1">RANDBETWEEN(VLOOKUP(E7,$L$7:$Q$15,3),VLOOKUP(E7,$L$7:$Q$15,4))</f>
        <v>91</v>
      </c>
      <c r="B7" s="1">
        <f t="shared" ca="1" si="0"/>
        <v>9</v>
      </c>
      <c r="C7" s="1">
        <f ca="1">RANDBETWEEN(VLOOKUP(E7,$L$7:$Q$15,5),VLOOKUP(E7,$L$7:$Q$15,6))</f>
        <v>84</v>
      </c>
      <c r="D7" s="1">
        <f t="shared" ca="1" si="1"/>
        <v>-84</v>
      </c>
      <c r="E7" s="13" t="s">
        <v>10</v>
      </c>
      <c r="F7" s="13">
        <f t="shared" si="2"/>
        <v>3</v>
      </c>
      <c r="G7" s="1">
        <v>2</v>
      </c>
      <c r="H7" s="1">
        <v>2</v>
      </c>
      <c r="I7">
        <f ca="1">RAND()</f>
        <v>0.30945443522256488</v>
      </c>
      <c r="J7">
        <v>1</v>
      </c>
      <c r="L7" s="4" t="s">
        <v>10</v>
      </c>
      <c r="M7">
        <f>COUNTIF($E$2:$E$57,L7)</f>
        <v>8</v>
      </c>
      <c r="N7">
        <v>75</v>
      </c>
      <c r="O7">
        <v>95</v>
      </c>
      <c r="P7">
        <v>80</v>
      </c>
      <c r="Q7">
        <v>97</v>
      </c>
      <c r="R7">
        <f>COUNTIF($G2:$H9,R$6)</f>
        <v>6</v>
      </c>
      <c r="S7">
        <f t="shared" ref="S7:AA7" si="3">COUNTIF($G2:$H9,S$6)</f>
        <v>4</v>
      </c>
      <c r="T7">
        <f t="shared" si="3"/>
        <v>3</v>
      </c>
      <c r="U7">
        <f t="shared" si="3"/>
        <v>1</v>
      </c>
      <c r="V7">
        <f t="shared" si="3"/>
        <v>1</v>
      </c>
      <c r="W7">
        <f t="shared" si="3"/>
        <v>0</v>
      </c>
      <c r="X7">
        <f t="shared" si="3"/>
        <v>0</v>
      </c>
      <c r="Y7">
        <f t="shared" si="3"/>
        <v>1</v>
      </c>
      <c r="Z7">
        <f t="shared" si="3"/>
        <v>0</v>
      </c>
      <c r="AA7">
        <f t="shared" si="3"/>
        <v>0</v>
      </c>
      <c r="AC7">
        <f ca="1">RAND()</f>
        <v>0.13280581444255091</v>
      </c>
      <c r="AD7" s="1">
        <v>75</v>
      </c>
      <c r="AE7" s="1">
        <v>25</v>
      </c>
      <c r="AF7" s="1">
        <v>4</v>
      </c>
      <c r="AG7" s="1">
        <v>4</v>
      </c>
      <c r="AH7" s="14" t="s">
        <v>12</v>
      </c>
      <c r="AI7" s="13">
        <v>3</v>
      </c>
      <c r="AJ7" s="1">
        <v>1</v>
      </c>
      <c r="AK7" s="1">
        <v>1</v>
      </c>
    </row>
    <row r="8" spans="1:37" x14ac:dyDescent="0.2">
      <c r="A8" s="1">
        <f ca="1">RANDBETWEEN(VLOOKUP(E8,$L$7:$Q$15,3),VLOOKUP(E8,$L$7:$Q$15,4))</f>
        <v>80</v>
      </c>
      <c r="B8" s="1">
        <f t="shared" ca="1" si="0"/>
        <v>20</v>
      </c>
      <c r="C8" s="1">
        <f ca="1">RANDBETWEEN(VLOOKUP(E8,$L$7:$Q$15,5),VLOOKUP(E8,$L$7:$Q$15,6))</f>
        <v>84</v>
      </c>
      <c r="D8" s="1">
        <f t="shared" ca="1" si="1"/>
        <v>84</v>
      </c>
      <c r="E8" s="13" t="s">
        <v>10</v>
      </c>
      <c r="F8" s="13">
        <f t="shared" si="2"/>
        <v>3</v>
      </c>
      <c r="G8" s="1">
        <v>3</v>
      </c>
      <c r="H8" s="1">
        <v>3</v>
      </c>
      <c r="I8">
        <f ca="1">RAND()</f>
        <v>0.69672563420001332</v>
      </c>
      <c r="J8">
        <v>1</v>
      </c>
      <c r="L8" s="5" t="s">
        <v>12</v>
      </c>
      <c r="M8">
        <f>COUNTIF($E$2:$E$57,L8)</f>
        <v>8</v>
      </c>
      <c r="N8">
        <f>N7</f>
        <v>75</v>
      </c>
      <c r="O8">
        <f>O7</f>
        <v>95</v>
      </c>
      <c r="P8">
        <v>1</v>
      </c>
      <c r="Q8">
        <v>20</v>
      </c>
      <c r="R8">
        <f>COUNTIF($G10:$H17,R$6)</f>
        <v>6</v>
      </c>
      <c r="S8">
        <f t="shared" ref="S8:AA8" si="4">COUNTIF($G10:$H17,S$6)</f>
        <v>4</v>
      </c>
      <c r="T8">
        <f t="shared" si="4"/>
        <v>3</v>
      </c>
      <c r="U8">
        <f t="shared" si="4"/>
        <v>1</v>
      </c>
      <c r="V8">
        <f t="shared" si="4"/>
        <v>1</v>
      </c>
      <c r="W8">
        <f t="shared" si="4"/>
        <v>0</v>
      </c>
      <c r="X8">
        <f t="shared" si="4"/>
        <v>0</v>
      </c>
      <c r="Y8">
        <f t="shared" si="4"/>
        <v>1</v>
      </c>
      <c r="Z8">
        <f t="shared" si="4"/>
        <v>0</v>
      </c>
      <c r="AA8">
        <f t="shared" si="4"/>
        <v>0</v>
      </c>
      <c r="AC8">
        <f ca="1">RAND()</f>
        <v>0.82527320660982584</v>
      </c>
      <c r="AD8" s="1">
        <v>42</v>
      </c>
      <c r="AE8" s="1">
        <v>58</v>
      </c>
      <c r="AF8" s="1">
        <v>1424</v>
      </c>
      <c r="AG8" s="1">
        <v>1424</v>
      </c>
      <c r="AH8" s="11" t="s">
        <v>22</v>
      </c>
      <c r="AI8" s="13">
        <v>1.5</v>
      </c>
      <c r="AJ8" s="1">
        <v>5</v>
      </c>
      <c r="AK8" s="1">
        <v>4</v>
      </c>
    </row>
    <row r="9" spans="1:37" x14ac:dyDescent="0.2">
      <c r="A9" s="1">
        <f ca="1">RANDBETWEEN(VLOOKUP(E9,$L$7:$Q$15,3),VLOOKUP(E9,$L$7:$Q$15,4))</f>
        <v>78</v>
      </c>
      <c r="B9" s="1">
        <f t="shared" ca="1" si="0"/>
        <v>22</v>
      </c>
      <c r="C9" s="1">
        <f ca="1">RANDBETWEEN(VLOOKUP(E9,$L$7:$Q$15,5),VLOOKUP(E9,$L$7:$Q$15,6))</f>
        <v>80</v>
      </c>
      <c r="D9" s="1">
        <f t="shared" ca="1" si="1"/>
        <v>80</v>
      </c>
      <c r="E9" s="13" t="s">
        <v>10</v>
      </c>
      <c r="F9" s="13">
        <f t="shared" si="2"/>
        <v>3</v>
      </c>
      <c r="G9" s="1">
        <v>5</v>
      </c>
      <c r="H9" s="1">
        <v>8</v>
      </c>
      <c r="I9">
        <f ca="1">RAND()</f>
        <v>0.16906064159947132</v>
      </c>
      <c r="J9">
        <v>1</v>
      </c>
      <c r="L9" s="8" t="s">
        <v>23</v>
      </c>
      <c r="M9">
        <f>COUNTIF($E$2:$E$57,L9)</f>
        <v>0</v>
      </c>
      <c r="N9">
        <f>N8</f>
        <v>75</v>
      </c>
      <c r="O9">
        <f>O8</f>
        <v>95</v>
      </c>
      <c r="P9">
        <v>1000</v>
      </c>
      <c r="Q9">
        <v>1500</v>
      </c>
      <c r="R9" t="e">
        <f>COUNTIF(#REF!,R$6)</f>
        <v>#REF!</v>
      </c>
      <c r="S9" t="e">
        <f>COUNTIF(#REF!,S$6)</f>
        <v>#REF!</v>
      </c>
      <c r="T9" t="e">
        <f>COUNTIF(#REF!,T$6)</f>
        <v>#REF!</v>
      </c>
      <c r="U9" t="e">
        <f>COUNTIF(#REF!,U$6)</f>
        <v>#REF!</v>
      </c>
      <c r="V9" t="e">
        <f>COUNTIF(#REF!,V$6)</f>
        <v>#REF!</v>
      </c>
      <c r="W9" t="e">
        <f>COUNTIF(#REF!,W$6)</f>
        <v>#REF!</v>
      </c>
      <c r="X9" t="e">
        <f>COUNTIF(#REF!,X$6)</f>
        <v>#REF!</v>
      </c>
      <c r="Y9" t="e">
        <f>COUNTIF(#REF!,Y$6)</f>
        <v>#REF!</v>
      </c>
      <c r="Z9" t="e">
        <f>COUNTIF(#REF!,Z$6)</f>
        <v>#REF!</v>
      </c>
      <c r="AA9" t="e">
        <f>COUNTIF(#REF!,AA$6)</f>
        <v>#REF!</v>
      </c>
      <c r="AC9">
        <f ca="1">RAND()</f>
        <v>0.52511113779495888</v>
      </c>
      <c r="AD9" s="1">
        <v>52</v>
      </c>
      <c r="AE9" s="1">
        <v>48</v>
      </c>
      <c r="AF9" s="1">
        <v>81</v>
      </c>
      <c r="AG9" s="1">
        <v>-81</v>
      </c>
      <c r="AH9" s="17" t="s">
        <v>8</v>
      </c>
      <c r="AI9" s="13">
        <v>3</v>
      </c>
      <c r="AJ9" s="1">
        <v>2</v>
      </c>
      <c r="AK9" s="1">
        <v>1</v>
      </c>
    </row>
    <row r="10" spans="1:37" x14ac:dyDescent="0.2">
      <c r="A10" s="1">
        <f ca="1">RANDBETWEEN(VLOOKUP(E10,$L$7:$Q$15,3),VLOOKUP(E10,$L$7:$Q$15,4))</f>
        <v>83</v>
      </c>
      <c r="B10" s="1">
        <f t="shared" ca="1" si="0"/>
        <v>17</v>
      </c>
      <c r="C10" s="1">
        <f ca="1">RANDBETWEEN(VLOOKUP(E10,$L$7:$Q$15,5),VLOOKUP(E10,$L$7:$Q$15,6))</f>
        <v>11</v>
      </c>
      <c r="D10" s="1">
        <f t="shared" ca="1" si="1"/>
        <v>11</v>
      </c>
      <c r="E10" s="14" t="s">
        <v>12</v>
      </c>
      <c r="F10" s="13">
        <f t="shared" si="2"/>
        <v>3</v>
      </c>
      <c r="G10" s="1">
        <v>1</v>
      </c>
      <c r="H10" s="1">
        <v>8</v>
      </c>
      <c r="I10">
        <f ca="1">RAND()</f>
        <v>6.2976578349349888E-2</v>
      </c>
      <c r="J10">
        <v>2</v>
      </c>
      <c r="L10" s="12" t="s">
        <v>11</v>
      </c>
      <c r="M10">
        <f>COUNTIF($E$2:$E$57,L10)</f>
        <v>8</v>
      </c>
      <c r="N10">
        <v>5</v>
      </c>
      <c r="O10">
        <v>25</v>
      </c>
      <c r="P10">
        <f>P$7</f>
        <v>80</v>
      </c>
      <c r="Q10">
        <f>Q$7</f>
        <v>97</v>
      </c>
      <c r="R10">
        <f>COUNTIF($G18:$H25,R$6)</f>
        <v>6</v>
      </c>
      <c r="S10">
        <f>COUNTIF($G18:$H25,S$6)</f>
        <v>4</v>
      </c>
      <c r="T10">
        <f>COUNTIF($G18:$H25,T$6)</f>
        <v>3</v>
      </c>
      <c r="U10">
        <f>COUNTIF($G18:$H25,U$6)</f>
        <v>1</v>
      </c>
      <c r="V10">
        <f>COUNTIF($G18:$H25,V$6)</f>
        <v>1</v>
      </c>
      <c r="W10">
        <f>COUNTIF($G18:$H25,W$6)</f>
        <v>0</v>
      </c>
      <c r="X10">
        <f>COUNTIF($G18:$H25,X$6)</f>
        <v>0</v>
      </c>
      <c r="Y10">
        <f>COUNTIF($G18:$H25,Y$6)</f>
        <v>1</v>
      </c>
      <c r="Z10">
        <f>COUNTIF($G18:$H25,Z$6)</f>
        <v>0</v>
      </c>
      <c r="AA10">
        <f>COUNTIF($G18:$H25,AA$6)</f>
        <v>0</v>
      </c>
      <c r="AC10">
        <f ca="1">RAND()</f>
        <v>0.90569124912943244</v>
      </c>
      <c r="AD10" s="1">
        <v>87</v>
      </c>
      <c r="AE10" s="1">
        <v>13</v>
      </c>
      <c r="AF10" s="1">
        <v>97</v>
      </c>
      <c r="AG10" s="1">
        <v>97</v>
      </c>
      <c r="AH10" s="13" t="s">
        <v>10</v>
      </c>
      <c r="AI10" s="13">
        <v>3</v>
      </c>
      <c r="AJ10" s="1">
        <v>3</v>
      </c>
      <c r="AK10" s="1">
        <v>3</v>
      </c>
    </row>
    <row r="11" spans="1:37" x14ac:dyDescent="0.2">
      <c r="A11" s="1">
        <f ca="1">RANDBETWEEN(VLOOKUP(E11,$L$7:$Q$15,3),VLOOKUP(E11,$L$7:$Q$15,4))</f>
        <v>94</v>
      </c>
      <c r="B11" s="1">
        <f t="shared" ca="1" si="0"/>
        <v>6</v>
      </c>
      <c r="C11" s="1">
        <f ca="1">RANDBETWEEN(VLOOKUP(E11,$L$7:$Q$15,5),VLOOKUP(E11,$L$7:$Q$15,6))</f>
        <v>19</v>
      </c>
      <c r="D11" s="1">
        <f t="shared" ca="1" si="1"/>
        <v>19</v>
      </c>
      <c r="E11" s="14" t="s">
        <v>12</v>
      </c>
      <c r="F11" s="13">
        <f t="shared" si="2"/>
        <v>3</v>
      </c>
      <c r="G11" s="1">
        <v>1</v>
      </c>
      <c r="H11" s="1">
        <v>1</v>
      </c>
      <c r="I11">
        <f ca="1">RAND()</f>
        <v>0.44368474045925554</v>
      </c>
      <c r="J11">
        <v>2</v>
      </c>
      <c r="L11" s="10" t="s">
        <v>9</v>
      </c>
      <c r="M11">
        <f>COUNTIF($E$2:$E$57,L11)</f>
        <v>8</v>
      </c>
      <c r="N11">
        <f>N10</f>
        <v>5</v>
      </c>
      <c r="O11">
        <f>O10</f>
        <v>25</v>
      </c>
      <c r="P11">
        <v>3</v>
      </c>
      <c r="Q11">
        <f>Q$8</f>
        <v>20</v>
      </c>
      <c r="R11">
        <f>COUNTIF($G26:$H33,R$6)</f>
        <v>6</v>
      </c>
      <c r="S11">
        <f>COUNTIF($G26:$H33,S$6)</f>
        <v>4</v>
      </c>
      <c r="T11">
        <f>COUNTIF($G26:$H33,T$6)</f>
        <v>3</v>
      </c>
      <c r="U11">
        <f>COUNTIF($G26:$H33,U$6)</f>
        <v>1</v>
      </c>
      <c r="V11">
        <f>COUNTIF($G26:$H33,V$6)</f>
        <v>1</v>
      </c>
      <c r="W11">
        <f>COUNTIF($G26:$H33,W$6)</f>
        <v>0</v>
      </c>
      <c r="X11">
        <f>COUNTIF($G26:$H33,X$6)</f>
        <v>0</v>
      </c>
      <c r="Y11">
        <f>COUNTIF($G26:$H33,Y$6)</f>
        <v>1</v>
      </c>
      <c r="Z11">
        <f>COUNTIF($G26:$H33,Z$6)</f>
        <v>0</v>
      </c>
      <c r="AA11">
        <f>COUNTIF($G26:$H33,AA$6)</f>
        <v>0</v>
      </c>
      <c r="AC11">
        <f ca="1">RAND()</f>
        <v>0.99186979039599577</v>
      </c>
      <c r="AD11" s="1">
        <v>41</v>
      </c>
      <c r="AE11" s="1">
        <v>59</v>
      </c>
      <c r="AF11" s="1">
        <v>1375</v>
      </c>
      <c r="AG11" s="1">
        <v>-1375</v>
      </c>
      <c r="AH11" s="11" t="s">
        <v>22</v>
      </c>
      <c r="AI11" s="13">
        <v>1.5</v>
      </c>
      <c r="AJ11" s="1">
        <v>1</v>
      </c>
      <c r="AK11" s="1">
        <v>1</v>
      </c>
    </row>
    <row r="12" spans="1:37" x14ac:dyDescent="0.2">
      <c r="A12" s="1">
        <f ca="1">RANDBETWEEN(VLOOKUP(E12,$L$7:$Q$15,3),VLOOKUP(E12,$L$7:$Q$15,4))</f>
        <v>94</v>
      </c>
      <c r="B12" s="1">
        <f t="shared" ca="1" si="0"/>
        <v>6</v>
      </c>
      <c r="C12" s="1">
        <f ca="1">RANDBETWEEN(VLOOKUP(E12,$L$7:$Q$15,5),VLOOKUP(E12,$L$7:$Q$15,6))</f>
        <v>10</v>
      </c>
      <c r="D12" s="1">
        <f t="shared" ca="1" si="1"/>
        <v>10</v>
      </c>
      <c r="E12" s="14" t="s">
        <v>12</v>
      </c>
      <c r="F12" s="13">
        <f t="shared" si="2"/>
        <v>3</v>
      </c>
      <c r="G12" s="1">
        <v>1</v>
      </c>
      <c r="H12" s="1">
        <v>4</v>
      </c>
      <c r="I12">
        <f ca="1">RAND()</f>
        <v>0.5337322783888081</v>
      </c>
      <c r="J12">
        <v>2</v>
      </c>
      <c r="L12" s="9" t="s">
        <v>24</v>
      </c>
      <c r="M12">
        <f>COUNTIF($E$2:$E$57,L12)</f>
        <v>0</v>
      </c>
      <c r="N12">
        <f>N10</f>
        <v>5</v>
      </c>
      <c r="O12">
        <f>O10</f>
        <v>25</v>
      </c>
      <c r="P12">
        <f>P9</f>
        <v>1000</v>
      </c>
      <c r="Q12">
        <f>Q9</f>
        <v>1500</v>
      </c>
      <c r="R12" t="e">
        <f>COUNTIF(#REF!,R$6)</f>
        <v>#REF!</v>
      </c>
      <c r="S12" t="e">
        <f>COUNTIF(#REF!,S$6)</f>
        <v>#REF!</v>
      </c>
      <c r="T12" t="e">
        <f>COUNTIF(#REF!,T$6)</f>
        <v>#REF!</v>
      </c>
      <c r="U12" t="e">
        <f>COUNTIF(#REF!,U$6)</f>
        <v>#REF!</v>
      </c>
      <c r="V12" t="e">
        <f>COUNTIF(#REF!,V$6)</f>
        <v>#REF!</v>
      </c>
      <c r="W12" t="e">
        <f>COUNTIF(#REF!,W$6)</f>
        <v>#REF!</v>
      </c>
      <c r="X12" t="e">
        <f>COUNTIF(#REF!,X$6)</f>
        <v>#REF!</v>
      </c>
      <c r="Y12" t="e">
        <f>COUNTIF(#REF!,Y$6)</f>
        <v>#REF!</v>
      </c>
      <c r="Z12" t="e">
        <f>COUNTIF(#REF!,Z$6)</f>
        <v>#REF!</v>
      </c>
      <c r="AA12" t="e">
        <f>COUNTIF(#REF!,AA$6)</f>
        <v>#REF!</v>
      </c>
      <c r="AC12">
        <f ca="1">RAND()</f>
        <v>0.43710534765165354</v>
      </c>
      <c r="AD12" s="1">
        <v>93</v>
      </c>
      <c r="AE12" s="1">
        <v>7</v>
      </c>
      <c r="AF12" s="1">
        <v>1</v>
      </c>
      <c r="AG12" s="1">
        <v>1</v>
      </c>
      <c r="AH12" s="14" t="s">
        <v>12</v>
      </c>
      <c r="AI12" s="13">
        <v>3</v>
      </c>
      <c r="AJ12" s="1">
        <v>1</v>
      </c>
      <c r="AK12" s="1">
        <v>8</v>
      </c>
    </row>
    <row r="13" spans="1:37" x14ac:dyDescent="0.2">
      <c r="A13" s="1">
        <f ca="1">RANDBETWEEN(VLOOKUP(E13,$L$7:$Q$15,3),VLOOKUP(E13,$L$7:$Q$15,4))</f>
        <v>79</v>
      </c>
      <c r="B13" s="1">
        <f t="shared" ca="1" si="0"/>
        <v>21</v>
      </c>
      <c r="C13" s="1">
        <f ca="1">RANDBETWEEN(VLOOKUP(E13,$L$7:$Q$15,5),VLOOKUP(E13,$L$7:$Q$15,6))</f>
        <v>8</v>
      </c>
      <c r="D13" s="1">
        <f t="shared" ca="1" si="1"/>
        <v>8</v>
      </c>
      <c r="E13" s="14" t="s">
        <v>12</v>
      </c>
      <c r="F13" s="13">
        <f t="shared" si="2"/>
        <v>3</v>
      </c>
      <c r="G13" s="1">
        <v>2</v>
      </c>
      <c r="H13" s="1">
        <v>3</v>
      </c>
      <c r="I13">
        <f ca="1">RAND()</f>
        <v>0.37481541669408547</v>
      </c>
      <c r="J13">
        <v>2</v>
      </c>
      <c r="L13" s="6" t="s">
        <v>8</v>
      </c>
      <c r="M13">
        <f>COUNTIF($E$2:$E$57,L13)</f>
        <v>8</v>
      </c>
      <c r="N13">
        <v>40</v>
      </c>
      <c r="O13">
        <v>60</v>
      </c>
      <c r="P13">
        <f>P$7</f>
        <v>80</v>
      </c>
      <c r="Q13">
        <f>Q$7</f>
        <v>97</v>
      </c>
      <c r="R13">
        <f>COUNTIF($G34:$H41,R$6)</f>
        <v>6</v>
      </c>
      <c r="S13">
        <f>COUNTIF($G34:$H41,S$6)</f>
        <v>4</v>
      </c>
      <c r="T13">
        <f>COUNTIF($G34:$H41,T$6)</f>
        <v>3</v>
      </c>
      <c r="U13">
        <f>COUNTIF($G34:$H41,U$6)</f>
        <v>1</v>
      </c>
      <c r="V13">
        <f>COUNTIF($G34:$H41,V$6)</f>
        <v>1</v>
      </c>
      <c r="W13">
        <f>COUNTIF($G34:$H41,W$6)</f>
        <v>0</v>
      </c>
      <c r="X13">
        <f>COUNTIF($G34:$H41,X$6)</f>
        <v>0</v>
      </c>
      <c r="Y13">
        <f>COUNTIF($G34:$H41,Y$6)</f>
        <v>1</v>
      </c>
      <c r="Z13">
        <f>COUNTIF($G34:$H41,Z$6)</f>
        <v>0</v>
      </c>
      <c r="AA13">
        <f>COUNTIF($G34:$H41,AA$6)</f>
        <v>0</v>
      </c>
      <c r="AC13">
        <f ca="1">RAND()</f>
        <v>3.7091859752796941E-2</v>
      </c>
      <c r="AD13" s="1">
        <v>47</v>
      </c>
      <c r="AE13" s="1">
        <v>53</v>
      </c>
      <c r="AF13" s="1">
        <v>5</v>
      </c>
      <c r="AG13" s="1">
        <v>-5</v>
      </c>
      <c r="AH13" s="18" t="s">
        <v>7</v>
      </c>
      <c r="AI13" s="13">
        <v>3</v>
      </c>
      <c r="AJ13" s="1">
        <v>3</v>
      </c>
      <c r="AK13" s="1">
        <v>3</v>
      </c>
    </row>
    <row r="14" spans="1:37" x14ac:dyDescent="0.2">
      <c r="A14" s="1">
        <f ca="1">RANDBETWEEN(VLOOKUP(E14,$L$7:$Q$15,3),VLOOKUP(E14,$L$7:$Q$15,4))</f>
        <v>77</v>
      </c>
      <c r="B14" s="1">
        <f t="shared" ca="1" si="0"/>
        <v>23</v>
      </c>
      <c r="C14" s="1">
        <f ca="1">RANDBETWEEN(VLOOKUP(E14,$L$7:$Q$15,5),VLOOKUP(E14,$L$7:$Q$15,6))</f>
        <v>10</v>
      </c>
      <c r="D14" s="1">
        <f t="shared" ca="1" si="1"/>
        <v>10</v>
      </c>
      <c r="E14" s="14" t="s">
        <v>12</v>
      </c>
      <c r="F14" s="13">
        <f t="shared" si="2"/>
        <v>3</v>
      </c>
      <c r="G14" s="1">
        <v>2</v>
      </c>
      <c r="H14" s="1">
        <v>3</v>
      </c>
      <c r="I14">
        <f ca="1">RAND()</f>
        <v>0.8444955831945179</v>
      </c>
      <c r="J14">
        <v>2</v>
      </c>
      <c r="L14" s="7" t="s">
        <v>7</v>
      </c>
      <c r="M14">
        <f>COUNTIF($E$2:$E$57,L14)</f>
        <v>8</v>
      </c>
      <c r="N14">
        <f>N13</f>
        <v>40</v>
      </c>
      <c r="O14">
        <f>O13</f>
        <v>60</v>
      </c>
      <c r="P14">
        <f>P$8</f>
        <v>1</v>
      </c>
      <c r="Q14">
        <f>Q$8</f>
        <v>20</v>
      </c>
      <c r="R14">
        <f>COUNTIF($G42:$H49,R$6)</f>
        <v>6</v>
      </c>
      <c r="S14">
        <f>COUNTIF($G42:$H49,S$6)</f>
        <v>4</v>
      </c>
      <c r="T14">
        <f>COUNTIF($G42:$H49,T$6)</f>
        <v>3</v>
      </c>
      <c r="U14">
        <f>COUNTIF($G42:$H49,U$6)</f>
        <v>1</v>
      </c>
      <c r="V14">
        <f>COUNTIF($G42:$H49,V$6)</f>
        <v>1</v>
      </c>
      <c r="W14">
        <f>COUNTIF($G42:$H49,W$6)</f>
        <v>0</v>
      </c>
      <c r="X14">
        <f>COUNTIF($G42:$H49,X$6)</f>
        <v>0</v>
      </c>
      <c r="Y14">
        <f>COUNTIF($G42:$H49,Y$6)</f>
        <v>1</v>
      </c>
      <c r="Z14">
        <f>COUNTIF($G42:$H49,Z$6)</f>
        <v>0</v>
      </c>
      <c r="AA14">
        <f>COUNTIF($G42:$H49,AA$6)</f>
        <v>0</v>
      </c>
      <c r="AC14">
        <f ca="1">RAND()</f>
        <v>0.21748865220253932</v>
      </c>
      <c r="AD14" s="1">
        <v>75</v>
      </c>
      <c r="AE14" s="1">
        <v>25</v>
      </c>
      <c r="AF14" s="1">
        <v>92</v>
      </c>
      <c r="AG14" s="1">
        <v>92</v>
      </c>
      <c r="AH14" s="13" t="s">
        <v>10</v>
      </c>
      <c r="AI14" s="13">
        <v>3</v>
      </c>
      <c r="AJ14" s="1">
        <v>2</v>
      </c>
      <c r="AK14" s="1">
        <v>3</v>
      </c>
    </row>
    <row r="15" spans="1:37" x14ac:dyDescent="0.2">
      <c r="A15" s="1">
        <f ca="1">RANDBETWEEN(VLOOKUP(E15,$L$7:$Q$15,3),VLOOKUP(E15,$L$7:$Q$15,4))</f>
        <v>91</v>
      </c>
      <c r="B15" s="1">
        <f t="shared" ca="1" si="0"/>
        <v>9</v>
      </c>
      <c r="C15" s="1">
        <f ca="1">RANDBETWEEN(VLOOKUP(E15,$L$7:$Q$15,5),VLOOKUP(E15,$L$7:$Q$15,6))</f>
        <v>18</v>
      </c>
      <c r="D15" s="1">
        <f t="shared" ca="1" si="1"/>
        <v>18</v>
      </c>
      <c r="E15" s="14" t="s">
        <v>12</v>
      </c>
      <c r="F15" s="13">
        <f t="shared" si="2"/>
        <v>3</v>
      </c>
      <c r="G15" s="1">
        <v>2</v>
      </c>
      <c r="H15" s="1">
        <v>2</v>
      </c>
      <c r="I15">
        <f ca="1">RAND()</f>
        <v>0.31509112818871832</v>
      </c>
      <c r="J15">
        <v>2</v>
      </c>
      <c r="L15" s="11" t="s">
        <v>22</v>
      </c>
      <c r="M15">
        <f>COUNTIF($E$2:$E$57,L15)</f>
        <v>8</v>
      </c>
      <c r="N15">
        <f>N14</f>
        <v>40</v>
      </c>
      <c r="O15">
        <f>O14</f>
        <v>60</v>
      </c>
      <c r="P15">
        <f>P9</f>
        <v>1000</v>
      </c>
      <c r="Q15">
        <f>Q9</f>
        <v>1500</v>
      </c>
      <c r="R15">
        <f>COUNTIF($G50:$H57,R$6)</f>
        <v>6</v>
      </c>
      <c r="S15">
        <f t="shared" ref="S15:AA15" si="5">COUNTIF($G50:$H57,S$6)</f>
        <v>4</v>
      </c>
      <c r="T15">
        <f t="shared" si="5"/>
        <v>3</v>
      </c>
      <c r="U15">
        <f t="shared" si="5"/>
        <v>1</v>
      </c>
      <c r="V15">
        <f t="shared" si="5"/>
        <v>1</v>
      </c>
      <c r="W15">
        <f t="shared" si="5"/>
        <v>0</v>
      </c>
      <c r="X15">
        <f t="shared" si="5"/>
        <v>0</v>
      </c>
      <c r="Y15">
        <f t="shared" si="5"/>
        <v>1</v>
      </c>
      <c r="Z15">
        <f t="shared" si="5"/>
        <v>0</v>
      </c>
      <c r="AA15">
        <f t="shared" si="5"/>
        <v>0</v>
      </c>
      <c r="AC15">
        <f ca="1">RAND()</f>
        <v>0.24758873152574867</v>
      </c>
      <c r="AD15" s="1">
        <v>52</v>
      </c>
      <c r="AE15" s="1">
        <v>48</v>
      </c>
      <c r="AF15" s="1">
        <v>6</v>
      </c>
      <c r="AG15" s="1">
        <v>6</v>
      </c>
      <c r="AH15" s="18" t="s">
        <v>7</v>
      </c>
      <c r="AI15" s="13">
        <v>3</v>
      </c>
      <c r="AJ15" s="1">
        <v>1</v>
      </c>
      <c r="AK15" s="1">
        <v>1</v>
      </c>
    </row>
    <row r="16" spans="1:37" x14ac:dyDescent="0.2">
      <c r="A16" s="1">
        <f ca="1">RANDBETWEEN(VLOOKUP(E16,$L$7:$Q$15,3),VLOOKUP(E16,$L$7:$Q$15,4))</f>
        <v>81</v>
      </c>
      <c r="B16" s="1">
        <f t="shared" ca="1" si="0"/>
        <v>19</v>
      </c>
      <c r="C16" s="1">
        <f ca="1">RANDBETWEEN(VLOOKUP(E16,$L$7:$Q$15,5),VLOOKUP(E16,$L$7:$Q$15,6))</f>
        <v>15</v>
      </c>
      <c r="D16" s="1">
        <f t="shared" ca="1" si="1"/>
        <v>15</v>
      </c>
      <c r="E16" s="14" t="s">
        <v>12</v>
      </c>
      <c r="F16" s="13">
        <f t="shared" si="2"/>
        <v>3</v>
      </c>
      <c r="G16" s="1">
        <v>3</v>
      </c>
      <c r="H16" s="1">
        <v>1</v>
      </c>
      <c r="I16">
        <f ca="1">RAND()</f>
        <v>0.65875905850013405</v>
      </c>
      <c r="J16">
        <v>2</v>
      </c>
      <c r="AC16">
        <f ca="1">RAND()</f>
        <v>0.2416729824049485</v>
      </c>
      <c r="AD16" s="1">
        <v>53</v>
      </c>
      <c r="AE16" s="1">
        <v>47</v>
      </c>
      <c r="AF16" s="1">
        <v>1156</v>
      </c>
      <c r="AG16" s="1">
        <v>-1156</v>
      </c>
      <c r="AH16" s="11" t="s">
        <v>22</v>
      </c>
      <c r="AI16" s="13">
        <v>1.5</v>
      </c>
      <c r="AJ16" s="1">
        <v>3</v>
      </c>
      <c r="AK16" s="1">
        <v>2</v>
      </c>
    </row>
    <row r="17" spans="1:37" ht="16" customHeight="1" x14ac:dyDescent="0.2">
      <c r="A17" s="1">
        <f ca="1">RANDBETWEEN(VLOOKUP(E17,$L$7:$Q$15,3),VLOOKUP(E17,$L$7:$Q$15,4))</f>
        <v>77</v>
      </c>
      <c r="B17" s="1">
        <f t="shared" ca="1" si="0"/>
        <v>23</v>
      </c>
      <c r="C17" s="1">
        <f ca="1">RANDBETWEEN(VLOOKUP(E17,$L$7:$Q$15,5),VLOOKUP(E17,$L$7:$Q$15,6))</f>
        <v>11</v>
      </c>
      <c r="D17" s="1">
        <f t="shared" ca="1" si="1"/>
        <v>11</v>
      </c>
      <c r="E17" s="14" t="s">
        <v>12</v>
      </c>
      <c r="F17" s="13">
        <f t="shared" si="2"/>
        <v>3</v>
      </c>
      <c r="G17" s="1">
        <v>5</v>
      </c>
      <c r="H17" s="1">
        <v>1</v>
      </c>
      <c r="I17">
        <f ca="1">RAND()</f>
        <v>0.69021073625501972</v>
      </c>
      <c r="J17">
        <v>2</v>
      </c>
      <c r="L17" s="22" t="s">
        <v>34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C17">
        <f ca="1">RAND()</f>
        <v>0.16411384824045039</v>
      </c>
      <c r="AD17" s="1">
        <v>16</v>
      </c>
      <c r="AE17" s="1">
        <v>84</v>
      </c>
      <c r="AF17" s="1">
        <v>7</v>
      </c>
      <c r="AG17" s="1">
        <v>-7</v>
      </c>
      <c r="AH17" s="16" t="s">
        <v>9</v>
      </c>
      <c r="AI17" s="13">
        <v>3</v>
      </c>
      <c r="AJ17" s="1">
        <v>3</v>
      </c>
      <c r="AK17" s="1">
        <v>8</v>
      </c>
    </row>
    <row r="18" spans="1:37" ht="16" customHeight="1" x14ac:dyDescent="0.2">
      <c r="A18" s="1">
        <f ca="1">RANDBETWEEN(VLOOKUP(E18,$L$7:$Q$15,3),VLOOKUP(E18,$L$7:$Q$15,4))</f>
        <v>5</v>
      </c>
      <c r="B18" s="1">
        <f t="shared" ca="1" si="0"/>
        <v>95</v>
      </c>
      <c r="C18" s="1">
        <f ca="1">RANDBETWEEN(VLOOKUP(E18,$L$7:$Q$15,5),VLOOKUP(E18,$L$7:$Q$15,6))</f>
        <v>85</v>
      </c>
      <c r="D18" s="1">
        <f t="shared" ca="1" si="1"/>
        <v>-85</v>
      </c>
      <c r="E18" s="15" t="s">
        <v>11</v>
      </c>
      <c r="F18" s="13">
        <f t="shared" si="2"/>
        <v>3</v>
      </c>
      <c r="G18" s="1">
        <v>1</v>
      </c>
      <c r="H18" s="1">
        <v>1</v>
      </c>
      <c r="I18">
        <f ca="1">RAND()</f>
        <v>0.58337049264830321</v>
      </c>
      <c r="J18">
        <v>3</v>
      </c>
      <c r="L18" s="24" t="s">
        <v>38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C18">
        <f ca="1">RAND()</f>
        <v>0.78542250482862819</v>
      </c>
      <c r="AD18" s="1">
        <v>89</v>
      </c>
      <c r="AE18" s="1">
        <v>11</v>
      </c>
      <c r="AF18" s="1">
        <v>4</v>
      </c>
      <c r="AG18" s="1">
        <v>4</v>
      </c>
      <c r="AH18" s="14" t="s">
        <v>12</v>
      </c>
      <c r="AI18" s="13">
        <v>3</v>
      </c>
      <c r="AJ18" s="1">
        <v>2</v>
      </c>
      <c r="AK18" s="1">
        <v>3</v>
      </c>
    </row>
    <row r="19" spans="1:37" ht="16" customHeight="1" x14ac:dyDescent="0.2">
      <c r="A19" s="1">
        <f ca="1">RANDBETWEEN(VLOOKUP(E19,$L$7:$Q$15,3),VLOOKUP(E19,$L$7:$Q$15,4))</f>
        <v>16</v>
      </c>
      <c r="B19" s="1">
        <f t="shared" ca="1" si="0"/>
        <v>84</v>
      </c>
      <c r="C19" s="1">
        <f ca="1">RANDBETWEEN(VLOOKUP(E19,$L$7:$Q$15,5),VLOOKUP(E19,$L$7:$Q$15,6))</f>
        <v>80</v>
      </c>
      <c r="D19" s="1">
        <f t="shared" ca="1" si="1"/>
        <v>80</v>
      </c>
      <c r="E19" s="15" t="s">
        <v>11</v>
      </c>
      <c r="F19" s="13">
        <f t="shared" si="2"/>
        <v>3</v>
      </c>
      <c r="G19" s="1">
        <v>1</v>
      </c>
      <c r="H19" s="1">
        <v>3</v>
      </c>
      <c r="I19">
        <f ca="1">RAND()</f>
        <v>0.56834390479010088</v>
      </c>
      <c r="J19">
        <v>3</v>
      </c>
      <c r="L19" s="20" t="s">
        <v>37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C19">
        <f ca="1">RAND()</f>
        <v>4.4285322407752847E-2</v>
      </c>
      <c r="AD19" s="1">
        <v>56</v>
      </c>
      <c r="AE19" s="1">
        <v>44</v>
      </c>
      <c r="AF19" s="1">
        <v>1456</v>
      </c>
      <c r="AG19" s="1">
        <v>1456</v>
      </c>
      <c r="AH19" s="11" t="s">
        <v>22</v>
      </c>
      <c r="AI19" s="13">
        <v>1.5</v>
      </c>
      <c r="AJ19" s="1">
        <v>2</v>
      </c>
      <c r="AK19" s="1">
        <v>3</v>
      </c>
    </row>
    <row r="20" spans="1:37" ht="16" customHeight="1" x14ac:dyDescent="0.2">
      <c r="A20" s="1">
        <f ca="1">RANDBETWEEN(VLOOKUP(E20,$L$7:$Q$15,3),VLOOKUP(E20,$L$7:$Q$15,4))</f>
        <v>16</v>
      </c>
      <c r="B20" s="1">
        <f t="shared" ca="1" si="0"/>
        <v>84</v>
      </c>
      <c r="C20" s="1">
        <f ca="1">RANDBETWEEN(VLOOKUP(E20,$L$7:$Q$15,5),VLOOKUP(E20,$L$7:$Q$15,6))</f>
        <v>92</v>
      </c>
      <c r="D20" s="1">
        <f t="shared" ca="1" si="1"/>
        <v>-92</v>
      </c>
      <c r="E20" s="15" t="s">
        <v>11</v>
      </c>
      <c r="F20" s="13">
        <f t="shared" si="2"/>
        <v>3</v>
      </c>
      <c r="G20" s="1">
        <v>1</v>
      </c>
      <c r="H20" s="1">
        <v>2</v>
      </c>
      <c r="I20">
        <f ca="1">RAND()</f>
        <v>0.6487599790776426</v>
      </c>
      <c r="J20">
        <v>3</v>
      </c>
      <c r="L20" s="20" t="s">
        <v>39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C20">
        <f ca="1">RAND()</f>
        <v>0.13603114521604875</v>
      </c>
      <c r="AD20" s="1">
        <v>80</v>
      </c>
      <c r="AE20" s="1">
        <v>20</v>
      </c>
      <c r="AF20" s="1">
        <v>97</v>
      </c>
      <c r="AG20" s="1">
        <v>97</v>
      </c>
      <c r="AH20" s="13" t="s">
        <v>10</v>
      </c>
      <c r="AI20" s="13">
        <v>3</v>
      </c>
      <c r="AJ20" s="1">
        <v>5</v>
      </c>
      <c r="AK20" s="1">
        <v>8</v>
      </c>
    </row>
    <row r="21" spans="1:37" ht="16" customHeight="1" x14ac:dyDescent="0.2">
      <c r="A21" s="1">
        <f ca="1">RANDBETWEEN(VLOOKUP(E21,$L$7:$Q$15,3),VLOOKUP(E21,$L$7:$Q$15,4))</f>
        <v>18</v>
      </c>
      <c r="B21" s="1">
        <f t="shared" ca="1" si="0"/>
        <v>82</v>
      </c>
      <c r="C21" s="1">
        <f ca="1">RANDBETWEEN(VLOOKUP(E21,$L$7:$Q$15,5),VLOOKUP(E21,$L$7:$Q$15,6))</f>
        <v>95</v>
      </c>
      <c r="D21" s="1">
        <f t="shared" ca="1" si="1"/>
        <v>95</v>
      </c>
      <c r="E21" s="15" t="s">
        <v>11</v>
      </c>
      <c r="F21" s="13">
        <f t="shared" si="2"/>
        <v>3</v>
      </c>
      <c r="G21" s="1">
        <v>2</v>
      </c>
      <c r="H21" s="1">
        <v>3</v>
      </c>
      <c r="I21">
        <f ca="1">RAND()</f>
        <v>0.92409323042784131</v>
      </c>
      <c r="J21">
        <v>3</v>
      </c>
      <c r="L21" s="20" t="s">
        <v>40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C21">
        <f ca="1">RAND()</f>
        <v>0.43180520575294723</v>
      </c>
      <c r="AD21" s="1">
        <v>91</v>
      </c>
      <c r="AE21" s="1">
        <v>9</v>
      </c>
      <c r="AF21" s="1">
        <v>91</v>
      </c>
      <c r="AG21" s="1">
        <v>91</v>
      </c>
      <c r="AH21" s="13" t="s">
        <v>10</v>
      </c>
      <c r="AI21" s="13">
        <v>3</v>
      </c>
      <c r="AJ21" s="1">
        <v>1</v>
      </c>
      <c r="AK21" s="1">
        <v>4</v>
      </c>
    </row>
    <row r="22" spans="1:37" ht="16" customHeight="1" x14ac:dyDescent="0.2">
      <c r="A22" s="1">
        <f ca="1">RANDBETWEEN(VLOOKUP(E22,$L$7:$Q$15,3),VLOOKUP(E22,$L$7:$Q$15,4))</f>
        <v>22</v>
      </c>
      <c r="B22" s="1">
        <f t="shared" ca="1" si="0"/>
        <v>78</v>
      </c>
      <c r="C22" s="1">
        <f ca="1">RANDBETWEEN(VLOOKUP(E22,$L$7:$Q$15,5),VLOOKUP(E22,$L$7:$Q$15,6))</f>
        <v>95</v>
      </c>
      <c r="D22" s="1">
        <f t="shared" ca="1" si="1"/>
        <v>-95</v>
      </c>
      <c r="E22" s="15" t="s">
        <v>11</v>
      </c>
      <c r="F22" s="13">
        <f t="shared" si="2"/>
        <v>3</v>
      </c>
      <c r="G22" s="1">
        <v>2</v>
      </c>
      <c r="H22" s="1">
        <v>1</v>
      </c>
      <c r="I22">
        <f ca="1">RAND()</f>
        <v>5.1459860470686181E-2</v>
      </c>
      <c r="J22">
        <v>3</v>
      </c>
      <c r="L22" s="20" t="s">
        <v>51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C22">
        <f ca="1">RAND()</f>
        <v>0.46597925212169267</v>
      </c>
      <c r="AD22" s="1">
        <v>78</v>
      </c>
      <c r="AE22" s="1">
        <v>22</v>
      </c>
      <c r="AF22" s="1">
        <v>95</v>
      </c>
      <c r="AG22" s="1">
        <v>95</v>
      </c>
      <c r="AH22" s="13" t="s">
        <v>10</v>
      </c>
      <c r="AI22" s="13">
        <v>3</v>
      </c>
      <c r="AJ22" s="1">
        <v>1</v>
      </c>
      <c r="AK22" s="1">
        <v>1</v>
      </c>
    </row>
    <row r="23" spans="1:37" ht="16" customHeight="1" x14ac:dyDescent="0.2">
      <c r="A23" s="1">
        <f ca="1">RANDBETWEEN(VLOOKUP(E23,$L$7:$Q$15,3),VLOOKUP(E23,$L$7:$Q$15,4))</f>
        <v>5</v>
      </c>
      <c r="B23" s="1">
        <f t="shared" ca="1" si="0"/>
        <v>95</v>
      </c>
      <c r="C23" s="1">
        <f ca="1">RANDBETWEEN(VLOOKUP(E23,$L$7:$Q$15,5),VLOOKUP(E23,$L$7:$Q$15,6))</f>
        <v>94</v>
      </c>
      <c r="D23" s="1">
        <f t="shared" ca="1" si="1"/>
        <v>-94</v>
      </c>
      <c r="E23" s="15" t="s">
        <v>11</v>
      </c>
      <c r="F23" s="13">
        <f t="shared" si="2"/>
        <v>3</v>
      </c>
      <c r="G23" s="1">
        <v>2</v>
      </c>
      <c r="H23" s="1">
        <v>1</v>
      </c>
      <c r="I23">
        <f ca="1">RAND()</f>
        <v>0.43894328184999221</v>
      </c>
      <c r="J23">
        <v>3</v>
      </c>
      <c r="L23" s="20" t="s">
        <v>41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C23">
        <f ca="1">RAND()</f>
        <v>0.59610791171533462</v>
      </c>
      <c r="AD23" s="1">
        <v>85</v>
      </c>
      <c r="AE23" s="1">
        <v>15</v>
      </c>
      <c r="AF23" s="1">
        <v>80</v>
      </c>
      <c r="AG23" s="1">
        <v>80</v>
      </c>
      <c r="AH23" s="13" t="s">
        <v>10</v>
      </c>
      <c r="AI23" s="13">
        <v>3</v>
      </c>
      <c r="AJ23" s="1">
        <v>2</v>
      </c>
      <c r="AK23" s="1">
        <v>2</v>
      </c>
    </row>
    <row r="24" spans="1:37" x14ac:dyDescent="0.2">
      <c r="A24" s="1">
        <f ca="1">RANDBETWEEN(VLOOKUP(E24,$L$7:$Q$15,3),VLOOKUP(E24,$L$7:$Q$15,4))</f>
        <v>14</v>
      </c>
      <c r="B24" s="1">
        <f t="shared" ca="1" si="0"/>
        <v>86</v>
      </c>
      <c r="C24" s="1">
        <f ca="1">RANDBETWEEN(VLOOKUP(E24,$L$7:$Q$15,5),VLOOKUP(E24,$L$7:$Q$15,6))</f>
        <v>84</v>
      </c>
      <c r="D24" s="1">
        <f t="shared" ca="1" si="1"/>
        <v>84</v>
      </c>
      <c r="E24" s="15" t="s">
        <v>11</v>
      </c>
      <c r="F24" s="13">
        <f t="shared" si="2"/>
        <v>3</v>
      </c>
      <c r="G24" s="1">
        <v>3</v>
      </c>
      <c r="H24" s="1">
        <v>8</v>
      </c>
      <c r="I24">
        <f ca="1">RAND()</f>
        <v>0.91097283041997268</v>
      </c>
      <c r="J24">
        <v>3</v>
      </c>
      <c r="L24" s="20" t="s">
        <v>52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C24">
        <f ca="1">RAND()</f>
        <v>0.25066455697569623</v>
      </c>
      <c r="AD24" s="1">
        <v>9</v>
      </c>
      <c r="AE24" s="1">
        <v>91</v>
      </c>
      <c r="AF24" s="1">
        <v>83</v>
      </c>
      <c r="AG24" s="1">
        <v>-83</v>
      </c>
      <c r="AH24" s="15" t="s">
        <v>11</v>
      </c>
      <c r="AI24" s="13">
        <v>3</v>
      </c>
      <c r="AJ24" s="1">
        <v>3</v>
      </c>
      <c r="AK24" s="1">
        <v>8</v>
      </c>
    </row>
    <row r="25" spans="1:37" x14ac:dyDescent="0.2">
      <c r="A25" s="1">
        <f ca="1">RANDBETWEEN(VLOOKUP(E25,$L$7:$Q$15,3),VLOOKUP(E25,$L$7:$Q$15,4))</f>
        <v>15</v>
      </c>
      <c r="B25" s="1">
        <f t="shared" ca="1" si="0"/>
        <v>85</v>
      </c>
      <c r="C25" s="1">
        <f ca="1">RANDBETWEEN(VLOOKUP(E25,$L$7:$Q$15,5),VLOOKUP(E25,$L$7:$Q$15,6))</f>
        <v>85</v>
      </c>
      <c r="D25" s="1">
        <f t="shared" ca="1" si="1"/>
        <v>-85</v>
      </c>
      <c r="E25" s="15" t="s">
        <v>11</v>
      </c>
      <c r="F25" s="13">
        <f t="shared" si="2"/>
        <v>3</v>
      </c>
      <c r="G25" s="1">
        <v>5</v>
      </c>
      <c r="H25" s="1">
        <v>4</v>
      </c>
      <c r="I25">
        <f ca="1">RAND()</f>
        <v>0.10527696667818609</v>
      </c>
      <c r="J25">
        <v>3</v>
      </c>
      <c r="L25" s="20" t="s">
        <v>42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C25">
        <f ca="1">RAND()</f>
        <v>0.39272685357076431</v>
      </c>
      <c r="AD25" s="1">
        <v>25</v>
      </c>
      <c r="AE25" s="1">
        <v>75</v>
      </c>
      <c r="AF25" s="1">
        <v>9</v>
      </c>
      <c r="AG25" s="1">
        <v>9</v>
      </c>
      <c r="AH25" s="16" t="s">
        <v>9</v>
      </c>
      <c r="AI25" s="13">
        <v>3</v>
      </c>
      <c r="AJ25" s="1">
        <v>2</v>
      </c>
      <c r="AK25" s="1">
        <v>1</v>
      </c>
    </row>
    <row r="26" spans="1:37" x14ac:dyDescent="0.2">
      <c r="A26" s="1">
        <f ca="1">RANDBETWEEN(VLOOKUP(E26,$L$7:$Q$15,3),VLOOKUP(E26,$L$7:$Q$15,4))</f>
        <v>23</v>
      </c>
      <c r="B26" s="1">
        <f t="shared" ca="1" si="0"/>
        <v>77</v>
      </c>
      <c r="C26" s="1">
        <f ca="1">RANDBETWEEN(VLOOKUP(E26,$L$7:$Q$15,5),VLOOKUP(E26,$L$7:$Q$15,6))</f>
        <v>9</v>
      </c>
      <c r="D26" s="1">
        <f t="shared" ca="1" si="1"/>
        <v>-9</v>
      </c>
      <c r="E26" s="16" t="s">
        <v>9</v>
      </c>
      <c r="F26" s="13">
        <f t="shared" si="2"/>
        <v>3</v>
      </c>
      <c r="G26" s="1">
        <v>1</v>
      </c>
      <c r="H26" s="1">
        <v>3</v>
      </c>
      <c r="I26">
        <f ca="1">RAND()</f>
        <v>0.23738541773444022</v>
      </c>
      <c r="J26">
        <v>4</v>
      </c>
      <c r="L26" s="20" t="s">
        <v>43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C26">
        <f ca="1">RAND()</f>
        <v>0.37022159162029722</v>
      </c>
      <c r="AD26" s="1">
        <v>78</v>
      </c>
      <c r="AE26" s="1">
        <v>22</v>
      </c>
      <c r="AF26" s="1">
        <v>14</v>
      </c>
      <c r="AG26" s="1">
        <v>14</v>
      </c>
      <c r="AH26" s="14" t="s">
        <v>12</v>
      </c>
      <c r="AI26" s="13">
        <v>3</v>
      </c>
      <c r="AJ26" s="1">
        <v>3</v>
      </c>
      <c r="AK26" s="1">
        <v>1</v>
      </c>
    </row>
    <row r="27" spans="1:37" x14ac:dyDescent="0.2">
      <c r="A27" s="1">
        <f ca="1">RANDBETWEEN(VLOOKUP(E27,$L$7:$Q$15,3),VLOOKUP(E27,$L$7:$Q$15,4))</f>
        <v>19</v>
      </c>
      <c r="B27" s="1">
        <f t="shared" ca="1" si="0"/>
        <v>81</v>
      </c>
      <c r="C27" s="1">
        <f ca="1">RANDBETWEEN(VLOOKUP(E27,$L$7:$Q$15,5),VLOOKUP(E27,$L$7:$Q$15,6))</f>
        <v>19</v>
      </c>
      <c r="D27" s="1">
        <f t="shared" ca="1" si="1"/>
        <v>-19</v>
      </c>
      <c r="E27" s="16" t="s">
        <v>9</v>
      </c>
      <c r="F27" s="13">
        <f t="shared" si="2"/>
        <v>3</v>
      </c>
      <c r="G27" s="1">
        <v>1</v>
      </c>
      <c r="H27" s="1">
        <v>2</v>
      </c>
      <c r="I27">
        <f ca="1">RAND()</f>
        <v>0.7877475634668677</v>
      </c>
      <c r="J27">
        <v>4</v>
      </c>
      <c r="L27" s="20" t="s">
        <v>44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C27">
        <f ca="1">RAND()</f>
        <v>0.83660941817876922</v>
      </c>
      <c r="AD27" s="1">
        <v>47</v>
      </c>
      <c r="AE27" s="1">
        <v>53</v>
      </c>
      <c r="AF27" s="1">
        <v>15</v>
      </c>
      <c r="AG27" s="1">
        <v>15</v>
      </c>
      <c r="AH27" s="18" t="s">
        <v>7</v>
      </c>
      <c r="AI27" s="13">
        <v>3</v>
      </c>
      <c r="AJ27" s="1">
        <v>2</v>
      </c>
      <c r="AK27" s="1">
        <v>8</v>
      </c>
    </row>
    <row r="28" spans="1:37" x14ac:dyDescent="0.2">
      <c r="A28" s="1">
        <f ca="1">RANDBETWEEN(VLOOKUP(E28,$L$7:$Q$15,3),VLOOKUP(E28,$L$7:$Q$15,4))</f>
        <v>8</v>
      </c>
      <c r="B28" s="1">
        <f t="shared" ref="B28:B55" ca="1" si="6">100-A28</f>
        <v>92</v>
      </c>
      <c r="C28" s="1">
        <f ca="1">RANDBETWEEN(VLOOKUP(E28,$L$7:$Q$15,5),VLOOKUP(E28,$L$7:$Q$15,6))</f>
        <v>10</v>
      </c>
      <c r="D28" s="1">
        <f t="shared" ca="1" si="1"/>
        <v>-10</v>
      </c>
      <c r="E28" s="16" t="s">
        <v>9</v>
      </c>
      <c r="F28" s="13">
        <f t="shared" si="2"/>
        <v>3</v>
      </c>
      <c r="G28" s="1">
        <v>1</v>
      </c>
      <c r="H28" s="1">
        <v>3</v>
      </c>
      <c r="I28">
        <f ca="1">RAND()</f>
        <v>0.88731644783516206</v>
      </c>
      <c r="J28">
        <v>4</v>
      </c>
      <c r="L28" s="20" t="s">
        <v>45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C28">
        <f ca="1">RAND()</f>
        <v>0.10687768344384374</v>
      </c>
      <c r="AD28" s="1">
        <v>50</v>
      </c>
      <c r="AE28" s="1">
        <v>50</v>
      </c>
      <c r="AF28" s="1">
        <v>97</v>
      </c>
      <c r="AG28" s="1">
        <v>-97</v>
      </c>
      <c r="AH28" s="17" t="s">
        <v>8</v>
      </c>
      <c r="AI28" s="13">
        <v>3</v>
      </c>
      <c r="AJ28" s="1">
        <v>3</v>
      </c>
      <c r="AK28" s="1">
        <v>3</v>
      </c>
    </row>
    <row r="29" spans="1:37" x14ac:dyDescent="0.2">
      <c r="A29" s="1">
        <f ca="1">RANDBETWEEN(VLOOKUP(E29,$L$7:$Q$15,3),VLOOKUP(E29,$L$7:$Q$15,4))</f>
        <v>21</v>
      </c>
      <c r="B29" s="1">
        <f t="shared" ca="1" si="6"/>
        <v>79</v>
      </c>
      <c r="C29" s="1">
        <f ca="1">RANDBETWEEN(VLOOKUP(E29,$L$7:$Q$15,5),VLOOKUP(E29,$L$7:$Q$15,6))</f>
        <v>4</v>
      </c>
      <c r="D29" s="1">
        <f t="shared" ca="1" si="1"/>
        <v>-4</v>
      </c>
      <c r="E29" s="16" t="s">
        <v>9</v>
      </c>
      <c r="F29" s="13">
        <f t="shared" si="2"/>
        <v>3</v>
      </c>
      <c r="G29" s="1">
        <v>2</v>
      </c>
      <c r="H29" s="1">
        <v>1</v>
      </c>
      <c r="I29">
        <f ca="1">RAND()</f>
        <v>0.29207401114140319</v>
      </c>
      <c r="J29">
        <v>4</v>
      </c>
      <c r="L29" s="20" t="s">
        <v>46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C29">
        <f ca="1">RAND()</f>
        <v>0.41659103551161014</v>
      </c>
      <c r="AD29" s="1">
        <v>8</v>
      </c>
      <c r="AE29" s="1">
        <v>92</v>
      </c>
      <c r="AF29" s="1">
        <v>88</v>
      </c>
      <c r="AG29" s="1">
        <v>-88</v>
      </c>
      <c r="AH29" s="15" t="s">
        <v>11</v>
      </c>
      <c r="AI29" s="13">
        <v>3</v>
      </c>
      <c r="AJ29" s="1">
        <v>2</v>
      </c>
      <c r="AK29" s="1">
        <v>3</v>
      </c>
    </row>
    <row r="30" spans="1:37" x14ac:dyDescent="0.2">
      <c r="A30" s="1">
        <f ca="1">RANDBETWEEN(VLOOKUP(E30,$L$7:$Q$15,3),VLOOKUP(E30,$L$7:$Q$15,4))</f>
        <v>17</v>
      </c>
      <c r="B30" s="1">
        <f t="shared" ca="1" si="6"/>
        <v>83</v>
      </c>
      <c r="C30" s="1">
        <f ca="1">RANDBETWEEN(VLOOKUP(E30,$L$7:$Q$15,5),VLOOKUP(E30,$L$7:$Q$15,6))</f>
        <v>7</v>
      </c>
      <c r="D30" s="1">
        <f t="shared" ca="1" si="1"/>
        <v>-7</v>
      </c>
      <c r="E30" s="16" t="s">
        <v>9</v>
      </c>
      <c r="F30" s="13">
        <f t="shared" si="2"/>
        <v>3</v>
      </c>
      <c r="G30" s="1">
        <v>2</v>
      </c>
      <c r="H30" s="1">
        <v>1</v>
      </c>
      <c r="I30">
        <f ca="1">RAND()</f>
        <v>0.2779453199868207</v>
      </c>
      <c r="J30">
        <v>4</v>
      </c>
      <c r="AC30">
        <f ca="1">RAND()</f>
        <v>0.64105305455700989</v>
      </c>
      <c r="AD30" s="1">
        <v>77</v>
      </c>
      <c r="AE30" s="1">
        <v>23</v>
      </c>
      <c r="AF30" s="1">
        <v>5</v>
      </c>
      <c r="AG30" s="1">
        <v>-5</v>
      </c>
      <c r="AH30" s="14" t="s">
        <v>12</v>
      </c>
      <c r="AI30" s="13">
        <v>3</v>
      </c>
      <c r="AJ30" s="1">
        <v>5</v>
      </c>
      <c r="AK30" s="1">
        <v>1</v>
      </c>
    </row>
    <row r="31" spans="1:37" x14ac:dyDescent="0.2">
      <c r="A31" s="1">
        <f ca="1">RANDBETWEEN(VLOOKUP(E31,$L$7:$Q$15,3),VLOOKUP(E31,$L$7:$Q$15,4))</f>
        <v>18</v>
      </c>
      <c r="B31" s="1">
        <f t="shared" ca="1" si="6"/>
        <v>82</v>
      </c>
      <c r="C31" s="1">
        <f ca="1">RANDBETWEEN(VLOOKUP(E31,$L$7:$Q$15,5),VLOOKUP(E31,$L$7:$Q$15,6))</f>
        <v>9</v>
      </c>
      <c r="D31" s="1">
        <f t="shared" ca="1" si="1"/>
        <v>-9</v>
      </c>
      <c r="E31" s="16" t="s">
        <v>9</v>
      </c>
      <c r="F31" s="13">
        <f t="shared" si="2"/>
        <v>3</v>
      </c>
      <c r="G31" s="1">
        <v>2</v>
      </c>
      <c r="H31" s="1">
        <v>4</v>
      </c>
      <c r="I31">
        <f ca="1">RAND()</f>
        <v>0.86508374667145871</v>
      </c>
      <c r="J31">
        <v>4</v>
      </c>
      <c r="AC31">
        <f ca="1">RAND()</f>
        <v>0.40597645815387484</v>
      </c>
      <c r="AD31" s="1">
        <v>46</v>
      </c>
      <c r="AE31" s="1">
        <v>54</v>
      </c>
      <c r="AF31" s="1">
        <v>10</v>
      </c>
      <c r="AG31" s="1">
        <v>-10</v>
      </c>
      <c r="AH31" s="18" t="s">
        <v>7</v>
      </c>
      <c r="AI31" s="13">
        <v>3</v>
      </c>
      <c r="AJ31" s="1">
        <v>1</v>
      </c>
      <c r="AK31" s="1">
        <v>3</v>
      </c>
    </row>
    <row r="32" spans="1:37" x14ac:dyDescent="0.2">
      <c r="A32" s="1">
        <f ca="1">RANDBETWEEN(VLOOKUP(E32,$L$7:$Q$15,3),VLOOKUP(E32,$L$7:$Q$15,4))</f>
        <v>16</v>
      </c>
      <c r="B32" s="1">
        <f t="shared" ca="1" si="6"/>
        <v>84</v>
      </c>
      <c r="C32" s="1">
        <f ca="1">RANDBETWEEN(VLOOKUP(E32,$L$7:$Q$15,5),VLOOKUP(E32,$L$7:$Q$15,6))</f>
        <v>10</v>
      </c>
      <c r="D32" s="1">
        <f t="shared" ca="1" si="1"/>
        <v>-10</v>
      </c>
      <c r="E32" s="16" t="s">
        <v>9</v>
      </c>
      <c r="F32" s="13">
        <f t="shared" si="2"/>
        <v>3</v>
      </c>
      <c r="G32" s="1">
        <v>3</v>
      </c>
      <c r="H32" s="1">
        <v>8</v>
      </c>
      <c r="I32">
        <f ca="1">RAND()</f>
        <v>0.93624280200806631</v>
      </c>
      <c r="J32">
        <v>4</v>
      </c>
      <c r="AC32">
        <f ca="1">RAND()</f>
        <v>0.62817062145244551</v>
      </c>
      <c r="AD32" s="1">
        <v>42</v>
      </c>
      <c r="AE32" s="1">
        <v>58</v>
      </c>
      <c r="AF32" s="1">
        <v>95</v>
      </c>
      <c r="AG32" s="1">
        <v>95</v>
      </c>
      <c r="AH32" s="17" t="s">
        <v>8</v>
      </c>
      <c r="AI32" s="13">
        <v>3</v>
      </c>
      <c r="AJ32" s="1">
        <v>1</v>
      </c>
      <c r="AK32" s="1">
        <v>4</v>
      </c>
    </row>
    <row r="33" spans="1:37" x14ac:dyDescent="0.2">
      <c r="A33" s="1">
        <f ca="1">RANDBETWEEN(VLOOKUP(E33,$L$7:$Q$15,3),VLOOKUP(E33,$L$7:$Q$15,4))</f>
        <v>13</v>
      </c>
      <c r="B33" s="1">
        <f t="shared" ca="1" si="6"/>
        <v>87</v>
      </c>
      <c r="C33" s="1">
        <f ca="1">RANDBETWEEN(VLOOKUP(E33,$L$7:$Q$15,5),VLOOKUP(E33,$L$7:$Q$15,6))</f>
        <v>17</v>
      </c>
      <c r="D33" s="1">
        <f t="shared" ca="1" si="1"/>
        <v>17</v>
      </c>
      <c r="E33" s="16" t="s">
        <v>9</v>
      </c>
      <c r="F33" s="13">
        <f t="shared" si="2"/>
        <v>3</v>
      </c>
      <c r="G33" s="1">
        <v>5</v>
      </c>
      <c r="H33" s="1">
        <v>1</v>
      </c>
      <c r="I33">
        <f ca="1">RAND()</f>
        <v>0.83799127980502708</v>
      </c>
      <c r="J33">
        <v>4</v>
      </c>
      <c r="AC33">
        <f ca="1">RAND()</f>
        <v>0.49145086121300552</v>
      </c>
      <c r="AD33" s="1">
        <v>13</v>
      </c>
      <c r="AE33" s="1">
        <v>87</v>
      </c>
      <c r="AF33" s="1">
        <v>86</v>
      </c>
      <c r="AG33" s="1">
        <v>86</v>
      </c>
      <c r="AH33" s="15" t="s">
        <v>11</v>
      </c>
      <c r="AI33" s="13">
        <v>3</v>
      </c>
      <c r="AJ33" s="1">
        <v>1</v>
      </c>
      <c r="AK33" s="1">
        <v>2</v>
      </c>
    </row>
    <row r="34" spans="1:37" x14ac:dyDescent="0.2">
      <c r="A34" s="1">
        <f ca="1">RANDBETWEEN(VLOOKUP(E34,$L$7:$Q$15,3),VLOOKUP(E34,$L$7:$Q$15,4))</f>
        <v>60</v>
      </c>
      <c r="B34" s="1">
        <f t="shared" ca="1" si="6"/>
        <v>40</v>
      </c>
      <c r="C34" s="1">
        <f ca="1">RANDBETWEEN(VLOOKUP(E34,$L$7:$Q$15,5),VLOOKUP(E34,$L$7:$Q$15,6))</f>
        <v>97</v>
      </c>
      <c r="D34" s="1">
        <f t="shared" ca="1" si="1"/>
        <v>97</v>
      </c>
      <c r="E34" s="17" t="s">
        <v>8</v>
      </c>
      <c r="F34" s="13">
        <f t="shared" si="2"/>
        <v>3</v>
      </c>
      <c r="G34" s="1">
        <v>1</v>
      </c>
      <c r="H34" s="1">
        <v>3</v>
      </c>
      <c r="I34">
        <f ca="1">RAND()</f>
        <v>5.1884420326742342E-2</v>
      </c>
      <c r="J34">
        <v>5</v>
      </c>
      <c r="AC34">
        <f ca="1">RAND()</f>
        <v>0.51722231282283404</v>
      </c>
      <c r="AD34" s="1">
        <v>86</v>
      </c>
      <c r="AE34" s="1">
        <v>14</v>
      </c>
      <c r="AF34" s="1">
        <v>88</v>
      </c>
      <c r="AG34" s="1">
        <v>88</v>
      </c>
      <c r="AH34" s="13" t="s">
        <v>10</v>
      </c>
      <c r="AI34" s="13">
        <v>3</v>
      </c>
      <c r="AJ34" s="1">
        <v>1</v>
      </c>
      <c r="AK34" s="1">
        <v>1</v>
      </c>
    </row>
    <row r="35" spans="1:37" x14ac:dyDescent="0.2">
      <c r="A35" s="1">
        <f ca="1">RANDBETWEEN(VLOOKUP(E35,$L$7:$Q$15,3),VLOOKUP(E35,$L$7:$Q$15,4))</f>
        <v>47</v>
      </c>
      <c r="B35" s="1">
        <f t="shared" ca="1" si="6"/>
        <v>53</v>
      </c>
      <c r="C35" s="1">
        <f ca="1">RANDBETWEEN(VLOOKUP(E35,$L$7:$Q$15,5),VLOOKUP(E35,$L$7:$Q$15,6))</f>
        <v>91</v>
      </c>
      <c r="D35" s="1">
        <f t="shared" ca="1" si="1"/>
        <v>91</v>
      </c>
      <c r="E35" s="17" t="s">
        <v>8</v>
      </c>
      <c r="F35" s="13">
        <f t="shared" si="2"/>
        <v>3</v>
      </c>
      <c r="G35" s="1">
        <v>1</v>
      </c>
      <c r="H35" s="1">
        <v>2</v>
      </c>
      <c r="I35">
        <f ca="1">RAND()</f>
        <v>0.32673218711577789</v>
      </c>
      <c r="J35">
        <v>5</v>
      </c>
      <c r="AC35">
        <f ca="1">RAND()</f>
        <v>7.4346620720263656E-3</v>
      </c>
      <c r="AD35" s="1">
        <v>21</v>
      </c>
      <c r="AE35" s="1">
        <v>79</v>
      </c>
      <c r="AF35" s="1">
        <v>90</v>
      </c>
      <c r="AG35" s="1">
        <v>90</v>
      </c>
      <c r="AH35" s="15" t="s">
        <v>11</v>
      </c>
      <c r="AI35" s="13">
        <v>3</v>
      </c>
      <c r="AJ35" s="1">
        <v>5</v>
      </c>
      <c r="AK35" s="1">
        <v>4</v>
      </c>
    </row>
    <row r="36" spans="1:37" x14ac:dyDescent="0.2">
      <c r="A36" s="1">
        <f ca="1">RANDBETWEEN(VLOOKUP(E36,$L$7:$Q$15,3),VLOOKUP(E36,$L$7:$Q$15,4))</f>
        <v>51</v>
      </c>
      <c r="B36" s="1">
        <f t="shared" ca="1" si="6"/>
        <v>49</v>
      </c>
      <c r="C36" s="1">
        <f ca="1">RANDBETWEEN(VLOOKUP(E36,$L$7:$Q$15,5),VLOOKUP(E36,$L$7:$Q$15,6))</f>
        <v>93</v>
      </c>
      <c r="D36" s="1">
        <f t="shared" ca="1" si="1"/>
        <v>-93</v>
      </c>
      <c r="E36" s="17" t="s">
        <v>8</v>
      </c>
      <c r="F36" s="13">
        <f t="shared" si="2"/>
        <v>3</v>
      </c>
      <c r="G36" s="1">
        <v>1</v>
      </c>
      <c r="H36" s="1">
        <v>4</v>
      </c>
      <c r="I36">
        <f ca="1">RAND()</f>
        <v>0.26953835981025742</v>
      </c>
      <c r="J36">
        <v>5</v>
      </c>
      <c r="AC36">
        <f ca="1">RAND()</f>
        <v>0.67094503412906559</v>
      </c>
      <c r="AD36" s="1">
        <v>44</v>
      </c>
      <c r="AE36" s="1">
        <v>56</v>
      </c>
      <c r="AF36" s="1">
        <v>82</v>
      </c>
      <c r="AG36" s="1">
        <v>82</v>
      </c>
      <c r="AH36" s="17" t="s">
        <v>8</v>
      </c>
      <c r="AI36" s="13">
        <v>3</v>
      </c>
      <c r="AJ36" s="1">
        <v>5</v>
      </c>
      <c r="AK36" s="1">
        <v>8</v>
      </c>
    </row>
    <row r="37" spans="1:37" x14ac:dyDescent="0.2">
      <c r="A37" s="1">
        <f ca="1">RANDBETWEEN(VLOOKUP(E37,$L$7:$Q$15,3),VLOOKUP(E37,$L$7:$Q$15,4))</f>
        <v>43</v>
      </c>
      <c r="B37" s="1">
        <f t="shared" ca="1" si="6"/>
        <v>57</v>
      </c>
      <c r="C37" s="1">
        <f ca="1">RANDBETWEEN(VLOOKUP(E37,$L$7:$Q$15,5),VLOOKUP(E37,$L$7:$Q$15,6))</f>
        <v>81</v>
      </c>
      <c r="D37" s="1">
        <f t="shared" ca="1" si="1"/>
        <v>81</v>
      </c>
      <c r="E37" s="17" t="s">
        <v>8</v>
      </c>
      <c r="F37" s="13">
        <f t="shared" si="2"/>
        <v>3</v>
      </c>
      <c r="G37" s="1">
        <v>2</v>
      </c>
      <c r="H37" s="1">
        <v>1</v>
      </c>
      <c r="I37">
        <f ca="1">RAND()</f>
        <v>0.50231662670724664</v>
      </c>
      <c r="J37">
        <v>5</v>
      </c>
      <c r="AC37">
        <f ca="1">RAND()</f>
        <v>0.23598716152865074</v>
      </c>
      <c r="AD37" s="1">
        <v>8</v>
      </c>
      <c r="AE37" s="1">
        <v>92</v>
      </c>
      <c r="AF37" s="1">
        <v>87</v>
      </c>
      <c r="AG37" s="1">
        <v>-87</v>
      </c>
      <c r="AH37" s="15" t="s">
        <v>11</v>
      </c>
      <c r="AI37" s="13">
        <v>3</v>
      </c>
      <c r="AJ37" s="1">
        <v>1</v>
      </c>
      <c r="AK37" s="1">
        <v>3</v>
      </c>
    </row>
    <row r="38" spans="1:37" x14ac:dyDescent="0.2">
      <c r="A38" s="1">
        <f ca="1">RANDBETWEEN(VLOOKUP(E38,$L$7:$Q$15,3),VLOOKUP(E38,$L$7:$Q$15,4))</f>
        <v>42</v>
      </c>
      <c r="B38" s="1">
        <f t="shared" ca="1" si="6"/>
        <v>58</v>
      </c>
      <c r="C38" s="1">
        <f ca="1">RANDBETWEEN(VLOOKUP(E38,$L$7:$Q$15,5),VLOOKUP(E38,$L$7:$Q$15,6))</f>
        <v>88</v>
      </c>
      <c r="D38" s="1">
        <f t="shared" ca="1" si="1"/>
        <v>-88</v>
      </c>
      <c r="E38" s="17" t="s">
        <v>8</v>
      </c>
      <c r="F38" s="13">
        <f t="shared" si="2"/>
        <v>3</v>
      </c>
      <c r="G38" s="1">
        <v>2</v>
      </c>
      <c r="H38" s="1">
        <v>1</v>
      </c>
      <c r="I38">
        <f ca="1">RAND()</f>
        <v>0.79143228707008872</v>
      </c>
      <c r="J38">
        <v>5</v>
      </c>
      <c r="AC38">
        <f ca="1">RAND()</f>
        <v>0.34249643095008264</v>
      </c>
      <c r="AD38" s="1">
        <v>59</v>
      </c>
      <c r="AE38" s="1">
        <v>41</v>
      </c>
      <c r="AF38" s="1">
        <v>1384</v>
      </c>
      <c r="AG38" s="1">
        <v>-1384</v>
      </c>
      <c r="AH38" s="11" t="s">
        <v>22</v>
      </c>
      <c r="AI38" s="13">
        <v>1.5</v>
      </c>
      <c r="AJ38" s="1">
        <v>1</v>
      </c>
      <c r="AK38" s="1">
        <v>1</v>
      </c>
    </row>
    <row r="39" spans="1:37" x14ac:dyDescent="0.2">
      <c r="A39" s="1">
        <f ca="1">RANDBETWEEN(VLOOKUP(E39,$L$7:$Q$15,3),VLOOKUP(E39,$L$7:$Q$15,4))</f>
        <v>41</v>
      </c>
      <c r="B39" s="1">
        <f t="shared" ca="1" si="6"/>
        <v>59</v>
      </c>
      <c r="C39" s="1">
        <f ca="1">RANDBETWEEN(VLOOKUP(E39,$L$7:$Q$15,5),VLOOKUP(E39,$L$7:$Q$15,6))</f>
        <v>97</v>
      </c>
      <c r="D39" s="1">
        <f t="shared" ca="1" si="1"/>
        <v>-97</v>
      </c>
      <c r="E39" s="17" t="s">
        <v>8</v>
      </c>
      <c r="F39" s="13">
        <f t="shared" si="2"/>
        <v>3</v>
      </c>
      <c r="G39" s="1">
        <v>2</v>
      </c>
      <c r="H39" s="1">
        <v>1</v>
      </c>
      <c r="I39">
        <f ca="1">RAND()</f>
        <v>0.70105081214031306</v>
      </c>
      <c r="J39">
        <v>5</v>
      </c>
      <c r="AC39">
        <f ca="1">RAND()</f>
        <v>0.3715093443244617</v>
      </c>
      <c r="AD39" s="1">
        <v>44</v>
      </c>
      <c r="AE39" s="1">
        <v>56</v>
      </c>
      <c r="AF39" s="1">
        <v>97</v>
      </c>
      <c r="AG39" s="1">
        <v>-97</v>
      </c>
      <c r="AH39" s="17" t="s">
        <v>8</v>
      </c>
      <c r="AI39" s="13">
        <v>3</v>
      </c>
      <c r="AJ39" s="1">
        <v>2</v>
      </c>
      <c r="AK39" s="1">
        <v>1</v>
      </c>
    </row>
    <row r="40" spans="1:37" x14ac:dyDescent="0.2">
      <c r="A40" s="1">
        <f ca="1">RANDBETWEEN(VLOOKUP(E40,$L$7:$Q$15,3),VLOOKUP(E40,$L$7:$Q$15,4))</f>
        <v>59</v>
      </c>
      <c r="B40" s="1">
        <f t="shared" ca="1" si="6"/>
        <v>41</v>
      </c>
      <c r="C40" s="1">
        <f ca="1">RANDBETWEEN(VLOOKUP(E40,$L$7:$Q$15,5),VLOOKUP(E40,$L$7:$Q$15,6))</f>
        <v>93</v>
      </c>
      <c r="D40" s="1">
        <f t="shared" ca="1" si="1"/>
        <v>-93</v>
      </c>
      <c r="E40" s="17" t="s">
        <v>8</v>
      </c>
      <c r="F40" s="13">
        <f t="shared" si="2"/>
        <v>3</v>
      </c>
      <c r="G40" s="1">
        <v>3</v>
      </c>
      <c r="H40" s="1">
        <v>3</v>
      </c>
      <c r="I40">
        <f ca="1">RAND()</f>
        <v>0.90515695563805498</v>
      </c>
      <c r="J40">
        <v>5</v>
      </c>
      <c r="AC40">
        <f ca="1">RAND()</f>
        <v>0.46844289540900297</v>
      </c>
      <c r="AD40" s="1">
        <v>48</v>
      </c>
      <c r="AE40" s="1">
        <v>52</v>
      </c>
      <c r="AF40" s="1">
        <v>14</v>
      </c>
      <c r="AG40" s="1">
        <v>14</v>
      </c>
      <c r="AH40" s="18" t="s">
        <v>7</v>
      </c>
      <c r="AI40" s="13">
        <v>3</v>
      </c>
      <c r="AJ40" s="1">
        <v>2</v>
      </c>
      <c r="AK40" s="1">
        <v>1</v>
      </c>
    </row>
    <row r="41" spans="1:37" x14ac:dyDescent="0.2">
      <c r="A41" s="1">
        <f ca="1">RANDBETWEEN(VLOOKUP(E41,$L$7:$Q$15,3),VLOOKUP(E41,$L$7:$Q$15,4))</f>
        <v>51</v>
      </c>
      <c r="B41" s="1">
        <f t="shared" ca="1" si="6"/>
        <v>49</v>
      </c>
      <c r="C41" s="1">
        <f ca="1">RANDBETWEEN(VLOOKUP(E41,$L$7:$Q$15,5),VLOOKUP(E41,$L$7:$Q$15,6))</f>
        <v>88</v>
      </c>
      <c r="D41" s="1">
        <f t="shared" ca="1" si="1"/>
        <v>88</v>
      </c>
      <c r="E41" s="17" t="s">
        <v>8</v>
      </c>
      <c r="F41" s="13">
        <f t="shared" si="2"/>
        <v>3</v>
      </c>
      <c r="G41" s="1">
        <v>5</v>
      </c>
      <c r="H41" s="1">
        <v>8</v>
      </c>
      <c r="I41">
        <f ca="1">RAND()</f>
        <v>0.97856073553606604</v>
      </c>
      <c r="J41">
        <v>5</v>
      </c>
      <c r="AC41">
        <f ca="1">RAND()</f>
        <v>0.42988272016292484</v>
      </c>
      <c r="AD41" s="1">
        <v>16</v>
      </c>
      <c r="AE41" s="1">
        <v>84</v>
      </c>
      <c r="AF41" s="1">
        <v>6</v>
      </c>
      <c r="AG41" s="1">
        <v>-6</v>
      </c>
      <c r="AH41" s="16" t="s">
        <v>9</v>
      </c>
      <c r="AI41" s="13">
        <v>3</v>
      </c>
      <c r="AJ41" s="1">
        <v>1</v>
      </c>
      <c r="AK41" s="1">
        <v>2</v>
      </c>
    </row>
    <row r="42" spans="1:37" x14ac:dyDescent="0.2">
      <c r="A42" s="1">
        <f ca="1">RANDBETWEEN(VLOOKUP(E42,$L$7:$Q$15,3),VLOOKUP(E42,$L$7:$Q$15,4))</f>
        <v>57</v>
      </c>
      <c r="B42" s="1">
        <f t="shared" ca="1" si="6"/>
        <v>43</v>
      </c>
      <c r="C42" s="1">
        <f ca="1">RANDBETWEEN(VLOOKUP(E42,$L$7:$Q$15,5),VLOOKUP(E42,$L$7:$Q$15,6))</f>
        <v>20</v>
      </c>
      <c r="D42" s="1">
        <f t="shared" ca="1" si="1"/>
        <v>20</v>
      </c>
      <c r="E42" s="18" t="s">
        <v>7</v>
      </c>
      <c r="F42" s="13">
        <f t="shared" si="2"/>
        <v>3</v>
      </c>
      <c r="G42" s="1">
        <v>1</v>
      </c>
      <c r="H42" s="1">
        <v>3</v>
      </c>
      <c r="I42">
        <f ca="1">RAND()</f>
        <v>0.1855799975906548</v>
      </c>
      <c r="J42">
        <v>6</v>
      </c>
      <c r="AC42">
        <f ca="1">RAND()</f>
        <v>1.4702639279762342E-2</v>
      </c>
      <c r="AD42" s="1">
        <v>19</v>
      </c>
      <c r="AE42" s="1">
        <v>81</v>
      </c>
      <c r="AF42" s="1">
        <v>4</v>
      </c>
      <c r="AG42" s="1">
        <v>-4</v>
      </c>
      <c r="AH42" s="16" t="s">
        <v>9</v>
      </c>
      <c r="AI42" s="13">
        <v>3</v>
      </c>
      <c r="AJ42" s="1">
        <v>1</v>
      </c>
      <c r="AK42" s="1">
        <v>3</v>
      </c>
    </row>
    <row r="43" spans="1:37" x14ac:dyDescent="0.2">
      <c r="A43" s="1">
        <f ca="1">RANDBETWEEN(VLOOKUP(E43,$L$7:$Q$15,3),VLOOKUP(E43,$L$7:$Q$15,4))</f>
        <v>43</v>
      </c>
      <c r="B43" s="1">
        <f t="shared" ca="1" si="6"/>
        <v>57</v>
      </c>
      <c r="C43" s="1">
        <f ca="1">RANDBETWEEN(VLOOKUP(E43,$L$7:$Q$15,5),VLOOKUP(E43,$L$7:$Q$15,6))</f>
        <v>7</v>
      </c>
      <c r="D43" s="1">
        <f t="shared" ca="1" si="1"/>
        <v>-7</v>
      </c>
      <c r="E43" s="18" t="s">
        <v>7</v>
      </c>
      <c r="F43" s="13">
        <f t="shared" si="2"/>
        <v>3</v>
      </c>
      <c r="G43" s="1">
        <v>1</v>
      </c>
      <c r="H43" s="1">
        <v>1</v>
      </c>
      <c r="I43">
        <f ca="1">RAND()</f>
        <v>0.99074043280610191</v>
      </c>
      <c r="J43">
        <v>6</v>
      </c>
      <c r="AC43">
        <f ca="1">RAND()</f>
        <v>0.51284285061768609</v>
      </c>
      <c r="AD43" s="1">
        <v>58</v>
      </c>
      <c r="AE43" s="1">
        <v>42</v>
      </c>
      <c r="AF43" s="1">
        <v>85</v>
      </c>
      <c r="AG43" s="1">
        <v>-85</v>
      </c>
      <c r="AH43" s="17" t="s">
        <v>8</v>
      </c>
      <c r="AI43" s="13">
        <v>3</v>
      </c>
      <c r="AJ43" s="1">
        <v>1</v>
      </c>
      <c r="AK43" s="1">
        <v>3</v>
      </c>
    </row>
    <row r="44" spans="1:37" x14ac:dyDescent="0.2">
      <c r="A44" s="1">
        <f ca="1">RANDBETWEEN(VLOOKUP(E44,$L$7:$Q$15,3),VLOOKUP(E44,$L$7:$Q$15,4))</f>
        <v>40</v>
      </c>
      <c r="B44" s="1">
        <f t="shared" ca="1" si="6"/>
        <v>60</v>
      </c>
      <c r="C44" s="1">
        <f ca="1">RANDBETWEEN(VLOOKUP(E44,$L$7:$Q$15,5),VLOOKUP(E44,$L$7:$Q$15,6))</f>
        <v>8</v>
      </c>
      <c r="D44" s="1">
        <f t="shared" ca="1" si="1"/>
        <v>-8</v>
      </c>
      <c r="E44" s="18" t="s">
        <v>7</v>
      </c>
      <c r="F44" s="13">
        <f t="shared" si="2"/>
        <v>3</v>
      </c>
      <c r="G44" s="1">
        <v>1</v>
      </c>
      <c r="H44" s="1">
        <v>4</v>
      </c>
      <c r="I44">
        <f ca="1">RAND()</f>
        <v>0.42336675908519772</v>
      </c>
      <c r="J44">
        <v>6</v>
      </c>
      <c r="AC44">
        <f ca="1">RAND()</f>
        <v>0.22486322918472712</v>
      </c>
      <c r="AD44" s="1">
        <v>43</v>
      </c>
      <c r="AE44" s="1">
        <v>57</v>
      </c>
      <c r="AF44" s="1">
        <v>1074</v>
      </c>
      <c r="AG44" s="1">
        <v>1074</v>
      </c>
      <c r="AH44" s="11" t="s">
        <v>22</v>
      </c>
      <c r="AI44" s="13">
        <v>1.5</v>
      </c>
      <c r="AJ44" s="1">
        <v>2</v>
      </c>
      <c r="AK44" s="1">
        <v>8</v>
      </c>
    </row>
    <row r="45" spans="1:37" x14ac:dyDescent="0.2">
      <c r="A45" s="1">
        <f ca="1">RANDBETWEEN(VLOOKUP(E45,$L$7:$Q$15,3),VLOOKUP(E45,$L$7:$Q$15,4))</f>
        <v>58</v>
      </c>
      <c r="B45" s="1">
        <f t="shared" ca="1" si="6"/>
        <v>42</v>
      </c>
      <c r="C45" s="1">
        <f ca="1">RANDBETWEEN(VLOOKUP(E45,$L$7:$Q$15,5),VLOOKUP(E45,$L$7:$Q$15,6))</f>
        <v>6</v>
      </c>
      <c r="D45" s="1">
        <f t="shared" ca="1" si="1"/>
        <v>-6</v>
      </c>
      <c r="E45" s="18" t="s">
        <v>7</v>
      </c>
      <c r="F45" s="13">
        <f t="shared" si="2"/>
        <v>3</v>
      </c>
      <c r="G45" s="1">
        <v>2</v>
      </c>
      <c r="H45" s="1">
        <v>8</v>
      </c>
      <c r="I45">
        <f ca="1">RAND()</f>
        <v>0.57760683255201561</v>
      </c>
      <c r="J45">
        <v>6</v>
      </c>
      <c r="AC45">
        <f ca="1">RAND()</f>
        <v>0.1489377211633538</v>
      </c>
      <c r="AD45" s="1">
        <v>45</v>
      </c>
      <c r="AE45" s="1">
        <v>55</v>
      </c>
      <c r="AF45" s="1">
        <v>90</v>
      </c>
      <c r="AG45" s="1">
        <v>90</v>
      </c>
      <c r="AH45" s="17" t="s">
        <v>8</v>
      </c>
      <c r="AI45" s="13">
        <v>3</v>
      </c>
      <c r="AJ45" s="1">
        <v>1</v>
      </c>
      <c r="AK45" s="1">
        <v>2</v>
      </c>
    </row>
    <row r="46" spans="1:37" x14ac:dyDescent="0.2">
      <c r="A46" s="1">
        <f ca="1">RANDBETWEEN(VLOOKUP(E46,$L$7:$Q$15,3),VLOOKUP(E46,$L$7:$Q$15,4))</f>
        <v>60</v>
      </c>
      <c r="B46" s="1">
        <f t="shared" ca="1" si="6"/>
        <v>40</v>
      </c>
      <c r="C46" s="1">
        <f ca="1">RANDBETWEEN(VLOOKUP(E46,$L$7:$Q$15,5),VLOOKUP(E46,$L$7:$Q$15,6))</f>
        <v>20</v>
      </c>
      <c r="D46" s="1">
        <f t="shared" ca="1" si="1"/>
        <v>-20</v>
      </c>
      <c r="E46" s="18" t="s">
        <v>7</v>
      </c>
      <c r="F46" s="13">
        <f t="shared" si="2"/>
        <v>3</v>
      </c>
      <c r="G46" s="1">
        <v>2</v>
      </c>
      <c r="H46" s="1">
        <v>1</v>
      </c>
      <c r="I46">
        <f ca="1">RAND()</f>
        <v>0.75612394372978387</v>
      </c>
      <c r="J46">
        <v>6</v>
      </c>
      <c r="AC46">
        <f ca="1">RAND()</f>
        <v>0.13908539089331717</v>
      </c>
      <c r="AD46" s="1">
        <v>77</v>
      </c>
      <c r="AE46" s="1">
        <v>23</v>
      </c>
      <c r="AF46" s="1">
        <v>3</v>
      </c>
      <c r="AG46" s="1">
        <v>3</v>
      </c>
      <c r="AH46" s="14" t="s">
        <v>12</v>
      </c>
      <c r="AI46" s="13">
        <v>3</v>
      </c>
      <c r="AJ46" s="1">
        <v>2</v>
      </c>
      <c r="AK46" s="1">
        <v>2</v>
      </c>
    </row>
    <row r="47" spans="1:37" x14ac:dyDescent="0.2">
      <c r="A47" s="1">
        <f ca="1">RANDBETWEEN(VLOOKUP(E47,$L$7:$Q$15,3),VLOOKUP(E47,$L$7:$Q$15,4))</f>
        <v>48</v>
      </c>
      <c r="B47" s="1">
        <f t="shared" ca="1" si="6"/>
        <v>52</v>
      </c>
      <c r="C47" s="1">
        <f ca="1">RANDBETWEEN(VLOOKUP(E47,$L$7:$Q$15,5),VLOOKUP(E47,$L$7:$Q$15,6))</f>
        <v>8</v>
      </c>
      <c r="D47" s="1">
        <f t="shared" ca="1" si="1"/>
        <v>8</v>
      </c>
      <c r="E47" s="18" t="s">
        <v>7</v>
      </c>
      <c r="F47" s="13">
        <f t="shared" si="2"/>
        <v>3</v>
      </c>
      <c r="G47" s="1">
        <v>2</v>
      </c>
      <c r="H47" s="1">
        <v>1</v>
      </c>
      <c r="I47">
        <f ca="1">RAND()</f>
        <v>8.7125194025170161E-2</v>
      </c>
      <c r="J47">
        <v>6</v>
      </c>
      <c r="AC47">
        <f ca="1">RAND()</f>
        <v>0.62365122475944346</v>
      </c>
      <c r="AD47" s="1">
        <v>89</v>
      </c>
      <c r="AE47" s="1">
        <v>11</v>
      </c>
      <c r="AF47" s="1">
        <v>3</v>
      </c>
      <c r="AG47" s="1">
        <v>3</v>
      </c>
      <c r="AH47" s="14" t="s">
        <v>12</v>
      </c>
      <c r="AI47" s="13">
        <v>3</v>
      </c>
      <c r="AJ47" s="1">
        <v>1</v>
      </c>
      <c r="AK47" s="1">
        <v>4</v>
      </c>
    </row>
    <row r="48" spans="1:37" x14ac:dyDescent="0.2">
      <c r="A48" s="1">
        <f ca="1">RANDBETWEEN(VLOOKUP(E48,$L$7:$Q$15,3),VLOOKUP(E48,$L$7:$Q$15,4))</f>
        <v>49</v>
      </c>
      <c r="B48" s="1">
        <f t="shared" ca="1" si="6"/>
        <v>51</v>
      </c>
      <c r="C48" s="1">
        <f ca="1">RANDBETWEEN(VLOOKUP(E48,$L$7:$Q$15,5),VLOOKUP(E48,$L$7:$Q$15,6))</f>
        <v>16</v>
      </c>
      <c r="D48" s="1">
        <f t="shared" ca="1" si="1"/>
        <v>-16</v>
      </c>
      <c r="E48" s="18" t="s">
        <v>7</v>
      </c>
      <c r="F48" s="13">
        <f t="shared" si="2"/>
        <v>3</v>
      </c>
      <c r="G48" s="1">
        <v>3</v>
      </c>
      <c r="H48" s="1">
        <v>3</v>
      </c>
      <c r="I48">
        <f ca="1">RAND()</f>
        <v>3.6396151390492903E-2</v>
      </c>
      <c r="J48">
        <v>6</v>
      </c>
      <c r="AC48">
        <f ca="1">RAND()</f>
        <v>0.76500618262441089</v>
      </c>
      <c r="AD48" s="1">
        <v>47</v>
      </c>
      <c r="AE48" s="1">
        <v>53</v>
      </c>
      <c r="AF48" s="1">
        <v>1373</v>
      </c>
      <c r="AG48" s="1">
        <v>-1373</v>
      </c>
      <c r="AH48" s="11" t="s">
        <v>22</v>
      </c>
      <c r="AI48" s="13">
        <v>1.5</v>
      </c>
      <c r="AJ48" s="1">
        <v>2</v>
      </c>
      <c r="AK48" s="1">
        <v>3</v>
      </c>
    </row>
    <row r="49" spans="1:37" x14ac:dyDescent="0.2">
      <c r="A49" s="1">
        <f ca="1">RANDBETWEEN(VLOOKUP(E49,$L$7:$Q$15,3),VLOOKUP(E49,$L$7:$Q$15,4))</f>
        <v>55</v>
      </c>
      <c r="B49" s="1">
        <f t="shared" ca="1" si="6"/>
        <v>45</v>
      </c>
      <c r="C49" s="1">
        <f ca="1">RANDBETWEEN(VLOOKUP(E49,$L$7:$Q$15,5),VLOOKUP(E49,$L$7:$Q$15,6))</f>
        <v>10</v>
      </c>
      <c r="D49" s="1">
        <f t="shared" ca="1" si="1"/>
        <v>-10</v>
      </c>
      <c r="E49" s="18" t="s">
        <v>7</v>
      </c>
      <c r="F49" s="13">
        <f t="shared" si="2"/>
        <v>3</v>
      </c>
      <c r="G49" s="1">
        <v>5</v>
      </c>
      <c r="H49" s="1">
        <v>2</v>
      </c>
      <c r="I49">
        <f ca="1">RAND()</f>
        <v>0.30116675746253996</v>
      </c>
      <c r="J49">
        <v>6</v>
      </c>
      <c r="AC49">
        <f ca="1">RAND()</f>
        <v>0.83013280053215222</v>
      </c>
      <c r="AD49" s="1">
        <v>23</v>
      </c>
      <c r="AE49" s="1">
        <v>77</v>
      </c>
      <c r="AF49" s="1">
        <v>20</v>
      </c>
      <c r="AG49" s="1">
        <v>-20</v>
      </c>
      <c r="AH49" s="16" t="s">
        <v>9</v>
      </c>
      <c r="AI49" s="13">
        <v>3</v>
      </c>
      <c r="AJ49" s="1">
        <v>1</v>
      </c>
      <c r="AK49" s="1">
        <v>3</v>
      </c>
    </row>
    <row r="50" spans="1:37" x14ac:dyDescent="0.2">
      <c r="A50" s="1">
        <f ca="1">RANDBETWEEN(VLOOKUP(E50,$L$7:$Q$15,3),VLOOKUP(E50,$L$7:$Q$15,4))</f>
        <v>60</v>
      </c>
      <c r="B50" s="1">
        <f t="shared" ca="1" si="6"/>
        <v>40</v>
      </c>
      <c r="C50" s="1">
        <f ca="1">RANDBETWEEN(VLOOKUP(E50,$L$7:$Q$15,5),VLOOKUP(E50,$L$7:$Q$15,6))</f>
        <v>1392</v>
      </c>
      <c r="D50" s="1">
        <f t="shared" ref="D50:D51" ca="1" si="7">C50*IF(RAND()&gt;(A50/100),-1,1)</f>
        <v>1392</v>
      </c>
      <c r="E50" s="11" t="s">
        <v>22</v>
      </c>
      <c r="F50" s="13">
        <f>$R$1</f>
        <v>1.5</v>
      </c>
      <c r="G50" s="1">
        <v>1</v>
      </c>
      <c r="H50" s="1">
        <v>1</v>
      </c>
      <c r="I50">
        <f ca="1">RAND()</f>
        <v>0.22009678114323783</v>
      </c>
      <c r="J50">
        <v>7</v>
      </c>
      <c r="AC50">
        <f ca="1">RAND()</f>
        <v>9.8346492478438852E-2</v>
      </c>
      <c r="AD50" s="1">
        <v>80</v>
      </c>
      <c r="AE50" s="1">
        <v>20</v>
      </c>
      <c r="AF50" s="1">
        <v>18</v>
      </c>
      <c r="AG50" s="1">
        <v>-18</v>
      </c>
      <c r="AH50" s="14" t="s">
        <v>12</v>
      </c>
      <c r="AI50" s="13">
        <v>3</v>
      </c>
      <c r="AJ50" s="1">
        <v>2</v>
      </c>
      <c r="AK50" s="1">
        <v>3</v>
      </c>
    </row>
    <row r="51" spans="1:37" x14ac:dyDescent="0.2">
      <c r="A51" s="1">
        <f ca="1">RANDBETWEEN(VLOOKUP(E51,$L$7:$Q$15,3),VLOOKUP(E51,$L$7:$Q$15,4))</f>
        <v>48</v>
      </c>
      <c r="B51" s="1">
        <f t="shared" ca="1" si="6"/>
        <v>52</v>
      </c>
      <c r="C51" s="1">
        <f ca="1">RANDBETWEEN(VLOOKUP(E51,$L$7:$Q$15,5),VLOOKUP(E51,$L$7:$Q$15,6))</f>
        <v>1206</v>
      </c>
      <c r="D51" s="1">
        <f t="shared" ca="1" si="7"/>
        <v>1206</v>
      </c>
      <c r="E51" s="11" t="s">
        <v>22</v>
      </c>
      <c r="F51" s="13">
        <f t="shared" ref="F51:F57" si="8">$R$1</f>
        <v>1.5</v>
      </c>
      <c r="G51" s="1">
        <v>1</v>
      </c>
      <c r="H51" s="1">
        <v>1</v>
      </c>
      <c r="I51">
        <f ca="1">RAND()</f>
        <v>0.8732360803024849</v>
      </c>
      <c r="J51">
        <v>7</v>
      </c>
      <c r="AC51">
        <f ca="1">RAND()</f>
        <v>0.24676675173258777</v>
      </c>
      <c r="AD51" s="1">
        <v>19</v>
      </c>
      <c r="AE51" s="1">
        <v>81</v>
      </c>
      <c r="AF51" s="1">
        <v>93</v>
      </c>
      <c r="AG51" s="1">
        <v>93</v>
      </c>
      <c r="AH51" s="15" t="s">
        <v>11</v>
      </c>
      <c r="AI51" s="13">
        <v>3</v>
      </c>
      <c r="AJ51" s="1">
        <v>2</v>
      </c>
      <c r="AK51" s="1">
        <v>1</v>
      </c>
    </row>
    <row r="52" spans="1:37" x14ac:dyDescent="0.2">
      <c r="A52" s="1">
        <f ca="1">RANDBETWEEN(VLOOKUP(E52,$L$7:$Q$15,3),VLOOKUP(E52,$L$7:$Q$15,4))</f>
        <v>55</v>
      </c>
      <c r="B52" s="1">
        <f t="shared" ca="1" si="6"/>
        <v>45</v>
      </c>
      <c r="C52" s="1">
        <f ca="1">RANDBETWEEN(VLOOKUP(E52,$L$7:$Q$15,5),VLOOKUP(E52,$L$7:$Q$15,6))</f>
        <v>1369</v>
      </c>
      <c r="D52" s="1">
        <f t="shared" ca="1" si="1"/>
        <v>1369</v>
      </c>
      <c r="E52" s="11" t="s">
        <v>22</v>
      </c>
      <c r="F52" s="13">
        <f t="shared" si="8"/>
        <v>1.5</v>
      </c>
      <c r="G52" s="1">
        <v>1</v>
      </c>
      <c r="H52" s="1">
        <v>1</v>
      </c>
      <c r="I52">
        <f ca="1">RAND()</f>
        <v>0.47600755309149878</v>
      </c>
      <c r="J52">
        <v>7</v>
      </c>
      <c r="AC52">
        <f ca="1">RAND()</f>
        <v>0.47854899093281422</v>
      </c>
      <c r="AD52" s="1">
        <v>47</v>
      </c>
      <c r="AE52" s="1">
        <v>53</v>
      </c>
      <c r="AF52" s="1">
        <v>7</v>
      </c>
      <c r="AG52" s="1">
        <v>-7</v>
      </c>
      <c r="AH52" s="18" t="s">
        <v>7</v>
      </c>
      <c r="AI52" s="13">
        <v>3</v>
      </c>
      <c r="AJ52" s="1">
        <v>5</v>
      </c>
      <c r="AK52" s="1">
        <v>2</v>
      </c>
    </row>
    <row r="53" spans="1:37" x14ac:dyDescent="0.2">
      <c r="A53" s="1">
        <f ca="1">RANDBETWEEN(VLOOKUP(E53,$L$7:$Q$15,3),VLOOKUP(E53,$L$7:$Q$15,4))</f>
        <v>44</v>
      </c>
      <c r="B53" s="1">
        <f t="shared" ca="1" si="6"/>
        <v>56</v>
      </c>
      <c r="C53" s="1">
        <f ca="1">RANDBETWEEN(VLOOKUP(E53,$L$7:$Q$15,5),VLOOKUP(E53,$L$7:$Q$15,6))</f>
        <v>1011</v>
      </c>
      <c r="D53" s="1">
        <f t="shared" ca="1" si="1"/>
        <v>-1011</v>
      </c>
      <c r="E53" s="11" t="s">
        <v>22</v>
      </c>
      <c r="F53" s="13">
        <f t="shared" si="8"/>
        <v>1.5</v>
      </c>
      <c r="G53" s="1">
        <v>2</v>
      </c>
      <c r="H53" s="1">
        <v>3</v>
      </c>
      <c r="I53">
        <f ca="1">RAND()</f>
        <v>0.4854477103762046</v>
      </c>
      <c r="J53">
        <v>7</v>
      </c>
      <c r="AC53">
        <f ca="1">RAND()</f>
        <v>0.11700881670377983</v>
      </c>
      <c r="AD53" s="1">
        <v>57</v>
      </c>
      <c r="AE53" s="1">
        <v>43</v>
      </c>
      <c r="AF53" s="1">
        <v>1274</v>
      </c>
      <c r="AG53" s="1">
        <v>1274</v>
      </c>
      <c r="AH53" s="11" t="s">
        <v>22</v>
      </c>
      <c r="AI53" s="13">
        <v>1.5</v>
      </c>
      <c r="AJ53" s="1">
        <v>1</v>
      </c>
      <c r="AK53" s="1">
        <v>1</v>
      </c>
    </row>
    <row r="54" spans="1:37" x14ac:dyDescent="0.2">
      <c r="A54" s="1">
        <f ca="1">RANDBETWEEN(VLOOKUP(E54,$L$7:$Q$15,3),VLOOKUP(E54,$L$7:$Q$15,4))</f>
        <v>56</v>
      </c>
      <c r="B54" s="1">
        <f t="shared" ca="1" si="6"/>
        <v>44</v>
      </c>
      <c r="C54" s="1">
        <f ca="1">RANDBETWEEN(VLOOKUP(E54,$L$7:$Q$15,5),VLOOKUP(E54,$L$7:$Q$15,6))</f>
        <v>1031</v>
      </c>
      <c r="D54" s="1">
        <f t="shared" ca="1" si="1"/>
        <v>1031</v>
      </c>
      <c r="E54" s="11" t="s">
        <v>22</v>
      </c>
      <c r="F54" s="13">
        <f t="shared" si="8"/>
        <v>1.5</v>
      </c>
      <c r="G54" s="1">
        <v>2</v>
      </c>
      <c r="H54" s="1">
        <v>3</v>
      </c>
      <c r="I54">
        <f ca="1">RAND()</f>
        <v>0.78038328187166639</v>
      </c>
      <c r="J54">
        <v>7</v>
      </c>
      <c r="AC54">
        <f ca="1">RAND()</f>
        <v>0.82960261578263961</v>
      </c>
      <c r="AD54" s="1">
        <v>20</v>
      </c>
      <c r="AE54" s="1">
        <v>80</v>
      </c>
      <c r="AF54" s="1">
        <v>84</v>
      </c>
      <c r="AG54" s="1">
        <v>84</v>
      </c>
      <c r="AH54" s="15" t="s">
        <v>11</v>
      </c>
      <c r="AI54" s="13">
        <v>3</v>
      </c>
      <c r="AJ54" s="1">
        <v>2</v>
      </c>
      <c r="AK54" s="1">
        <v>1</v>
      </c>
    </row>
    <row r="55" spans="1:37" x14ac:dyDescent="0.2">
      <c r="A55" s="1">
        <f ca="1">RANDBETWEEN(VLOOKUP(E55,$L$7:$Q$15,3),VLOOKUP(E55,$L$7:$Q$15,4))</f>
        <v>57</v>
      </c>
      <c r="B55" s="1">
        <f t="shared" ca="1" si="6"/>
        <v>43</v>
      </c>
      <c r="C55" s="1">
        <f ca="1">RANDBETWEEN(VLOOKUP(E55,$L$7:$Q$15,5),VLOOKUP(E55,$L$7:$Q$15,6))</f>
        <v>1190</v>
      </c>
      <c r="D55" s="1">
        <f t="shared" ca="1" si="1"/>
        <v>1190</v>
      </c>
      <c r="E55" s="11" t="s">
        <v>22</v>
      </c>
      <c r="F55" s="13">
        <f t="shared" si="8"/>
        <v>1.5</v>
      </c>
      <c r="G55" s="1">
        <v>2</v>
      </c>
      <c r="H55" s="1">
        <v>8</v>
      </c>
      <c r="I55">
        <f ca="1">RAND()</f>
        <v>2.7992532526885938E-3</v>
      </c>
      <c r="J55">
        <v>7</v>
      </c>
      <c r="AC55">
        <f ca="1">RAND()</f>
        <v>0.80896593707643394</v>
      </c>
      <c r="AD55" s="1">
        <v>85</v>
      </c>
      <c r="AE55" s="1">
        <v>15</v>
      </c>
      <c r="AF55" s="1">
        <v>91</v>
      </c>
      <c r="AG55" s="1">
        <v>91</v>
      </c>
      <c r="AH55" s="13" t="s">
        <v>10</v>
      </c>
      <c r="AI55" s="13">
        <v>3</v>
      </c>
      <c r="AJ55" s="1">
        <v>2</v>
      </c>
      <c r="AK55" s="1">
        <v>1</v>
      </c>
    </row>
    <row r="56" spans="1:37" x14ac:dyDescent="0.2">
      <c r="A56" s="1">
        <f ca="1">RANDBETWEEN(VLOOKUP(E56,$L$7:$Q$15,3),VLOOKUP(E56,$L$7:$Q$15,4))</f>
        <v>45</v>
      </c>
      <c r="B56" s="1">
        <f t="shared" ref="B56:B87" ca="1" si="9">100-A56</f>
        <v>55</v>
      </c>
      <c r="C56" s="1">
        <f ca="1">RANDBETWEEN(VLOOKUP(E56,$L$7:$Q$15,5),VLOOKUP(E56,$L$7:$Q$15,6))</f>
        <v>1129</v>
      </c>
      <c r="D56" s="1">
        <f t="shared" ca="1" si="1"/>
        <v>-1129</v>
      </c>
      <c r="E56" s="11" t="s">
        <v>22</v>
      </c>
      <c r="F56" s="13">
        <f t="shared" si="8"/>
        <v>1.5</v>
      </c>
      <c r="G56" s="1">
        <v>3</v>
      </c>
      <c r="H56" s="1">
        <v>2</v>
      </c>
      <c r="I56">
        <f ca="1">RAND()</f>
        <v>0.72196673999678418</v>
      </c>
      <c r="J56">
        <v>7</v>
      </c>
      <c r="AC56">
        <f ca="1">RAND()</f>
        <v>0.63371024929594411</v>
      </c>
      <c r="AD56" s="1">
        <v>23</v>
      </c>
      <c r="AE56" s="1">
        <v>77</v>
      </c>
      <c r="AF56" s="1">
        <v>4</v>
      </c>
      <c r="AG56" s="1">
        <v>-4</v>
      </c>
      <c r="AH56" s="16" t="s">
        <v>9</v>
      </c>
      <c r="AI56" s="13">
        <v>3</v>
      </c>
      <c r="AJ56" s="1">
        <v>5</v>
      </c>
      <c r="AK56" s="1">
        <v>1</v>
      </c>
    </row>
    <row r="57" spans="1:37" x14ac:dyDescent="0.2">
      <c r="A57" s="1">
        <f ca="1">RANDBETWEEN(VLOOKUP(E57,$L$7:$Q$15,3),VLOOKUP(E57,$L$7:$Q$15,4))</f>
        <v>46</v>
      </c>
      <c r="B57" s="1">
        <f t="shared" ca="1" si="9"/>
        <v>54</v>
      </c>
      <c r="C57" s="1">
        <f ca="1">RANDBETWEEN(VLOOKUP(E57,$L$7:$Q$15,5),VLOOKUP(E57,$L$7:$Q$15,6))</f>
        <v>1457</v>
      </c>
      <c r="D57" s="1">
        <f t="shared" ref="D57" ca="1" si="10">C57*IF(RAND()&gt;(A57/100),-1,1)</f>
        <v>-1457</v>
      </c>
      <c r="E57" s="11" t="s">
        <v>22</v>
      </c>
      <c r="F57" s="13">
        <f t="shared" si="8"/>
        <v>1.5</v>
      </c>
      <c r="G57" s="1">
        <v>5</v>
      </c>
      <c r="H57" s="1">
        <v>4</v>
      </c>
      <c r="I57">
        <f ca="1">RAND()</f>
        <v>0.44456504276022446</v>
      </c>
      <c r="J57">
        <v>7</v>
      </c>
      <c r="AC57">
        <f ca="1">RAND()</f>
        <v>0.92375099442830555</v>
      </c>
      <c r="AD57" s="1">
        <v>14</v>
      </c>
      <c r="AE57" s="1">
        <v>86</v>
      </c>
      <c r="AF57" s="1">
        <v>90</v>
      </c>
      <c r="AG57" s="1">
        <v>-90</v>
      </c>
      <c r="AH57" s="15" t="s">
        <v>11</v>
      </c>
      <c r="AI57" s="13">
        <v>3</v>
      </c>
      <c r="AJ57" s="1">
        <v>1</v>
      </c>
      <c r="AK57" s="1">
        <v>1</v>
      </c>
    </row>
    <row r="58" spans="1:37" x14ac:dyDescent="0.2">
      <c r="I58" s="23"/>
      <c r="J58" s="23"/>
      <c r="AC58" s="23"/>
    </row>
    <row r="59" spans="1:37" x14ac:dyDescent="0.2">
      <c r="I59" s="23"/>
      <c r="J59" s="23"/>
      <c r="AC59" s="23"/>
    </row>
    <row r="60" spans="1:37" x14ac:dyDescent="0.2">
      <c r="I60" s="23"/>
      <c r="J60" s="23"/>
      <c r="AC60" s="23"/>
    </row>
    <row r="61" spans="1:37" x14ac:dyDescent="0.2">
      <c r="I61" s="23"/>
      <c r="J61" s="23"/>
      <c r="AC61" s="23"/>
    </row>
    <row r="62" spans="1:37" x14ac:dyDescent="0.2">
      <c r="I62" s="23"/>
      <c r="J62" s="23"/>
      <c r="AC62" s="23"/>
    </row>
    <row r="63" spans="1:37" x14ac:dyDescent="0.2">
      <c r="I63" s="23"/>
      <c r="J63" s="23"/>
      <c r="AC63" s="23"/>
    </row>
    <row r="64" spans="1:37" x14ac:dyDescent="0.2">
      <c r="I64" s="23"/>
      <c r="J64" s="23"/>
      <c r="AC64" s="23"/>
    </row>
    <row r="65" spans="9:29" x14ac:dyDescent="0.2">
      <c r="I65" s="23"/>
      <c r="J65" s="23"/>
      <c r="AC65" s="23"/>
    </row>
    <row r="66" spans="9:29" x14ac:dyDescent="0.2">
      <c r="I66" s="23"/>
      <c r="J66" s="23"/>
      <c r="AC66" s="23"/>
    </row>
    <row r="67" spans="9:29" x14ac:dyDescent="0.2">
      <c r="I67" s="23"/>
      <c r="J67" s="23"/>
      <c r="AC67" s="23"/>
    </row>
  </sheetData>
  <sortState xmlns:xlrd2="http://schemas.microsoft.com/office/spreadsheetml/2017/richdata2" ref="AC2:AK67">
    <sortCondition ref="AC2:AC67"/>
  </sortState>
  <mergeCells count="24">
    <mergeCell ref="R3:S3"/>
    <mergeCell ref="O3:Q3"/>
    <mergeCell ref="L3:M3"/>
    <mergeCell ref="L4:M4"/>
    <mergeCell ref="R1:S1"/>
    <mergeCell ref="O1:Q1"/>
    <mergeCell ref="L1:M1"/>
    <mergeCell ref="L2:M2"/>
    <mergeCell ref="Z1:AA1"/>
    <mergeCell ref="U1:Y1"/>
    <mergeCell ref="R5:AA5"/>
    <mergeCell ref="L17:AA17"/>
    <mergeCell ref="L18:AA18"/>
    <mergeCell ref="L19:AA19"/>
    <mergeCell ref="L20:AA20"/>
    <mergeCell ref="L27:AA27"/>
    <mergeCell ref="L28:AA28"/>
    <mergeCell ref="L29:AA29"/>
    <mergeCell ref="L21:AA21"/>
    <mergeCell ref="L22:AA22"/>
    <mergeCell ref="L23:AA23"/>
    <mergeCell ref="L24:AA24"/>
    <mergeCell ref="L25:AA25"/>
    <mergeCell ref="L26:AA26"/>
  </mergeCells>
  <conditionalFormatting sqref="D2:D57">
    <cfRule type="cellIs" dxfId="19" priority="186" operator="lessThan">
      <formula>0</formula>
    </cfRule>
    <cfRule type="cellIs" dxfId="18" priority="187" operator="greaterThanOrEqual">
      <formula>0</formula>
    </cfRule>
  </conditionalFormatting>
  <conditionalFormatting sqref="R7:AA15">
    <cfRule type="colorScale" priority="334">
      <colorScale>
        <cfvo type="min"/>
        <cfvo type="max"/>
        <color theme="0"/>
        <color theme="0" tint="-0.499984740745262"/>
      </colorScale>
    </cfRule>
    <cfRule type="colorScale" priority="335">
      <colorScale>
        <cfvo type="min"/>
        <cfvo type="max"/>
        <color rgb="FFFFFFFF"/>
        <color theme="2" tint="-0.499984740745262"/>
      </colorScale>
    </cfRule>
    <cfRule type="colorScale" priority="336">
      <colorScale>
        <cfvo type="min"/>
        <cfvo type="max"/>
        <color theme="0" tint="-4.9989318521683403E-2"/>
        <color theme="0" tint="-0.499984740745262"/>
      </colorScale>
    </cfRule>
    <cfRule type="colorScale" priority="337">
      <colorScale>
        <cfvo type="min"/>
        <cfvo type="max"/>
        <color theme="2" tint="-0.499984740745262"/>
        <color theme="2" tint="-9.9978637043366805E-2"/>
      </colorScale>
    </cfRule>
    <cfRule type="colorScale" priority="338">
      <colorScale>
        <cfvo type="min"/>
        <cfvo type="max"/>
        <color rgb="FFFCFCFF"/>
        <color rgb="FFF8696B"/>
      </colorScale>
    </cfRule>
  </conditionalFormatting>
  <conditionalFormatting sqref="A2:A57">
    <cfRule type="colorScale" priority="609">
      <colorScale>
        <cfvo type="min"/>
        <cfvo type="max"/>
        <color rgb="FFFCFCFF"/>
        <color rgb="FFF8696B"/>
      </colorScale>
    </cfRule>
  </conditionalFormatting>
  <conditionalFormatting sqref="B2:B57">
    <cfRule type="colorScale" priority="611">
      <colorScale>
        <cfvo type="min"/>
        <cfvo type="max"/>
        <color theme="0"/>
        <color theme="4" tint="0.39997558519241921"/>
      </colorScale>
    </cfRule>
    <cfRule type="colorScale" priority="612">
      <colorScale>
        <cfvo type="min"/>
        <cfvo type="max"/>
        <color theme="4" tint="0.39997558519241921"/>
        <color theme="0"/>
      </colorScale>
    </cfRule>
  </conditionalFormatting>
  <conditionalFormatting sqref="C2:C57">
    <cfRule type="colorScale" priority="615">
      <colorScale>
        <cfvo type="min"/>
        <cfvo type="percentile" val="50"/>
        <cfvo type="max"/>
        <color theme="0"/>
        <color theme="0" tint="-0.499984740745262"/>
        <color rgb="FFFF0000"/>
      </colorScale>
    </cfRule>
  </conditionalFormatting>
  <conditionalFormatting sqref="G2:H57">
    <cfRule type="colorScale" priority="617">
      <colorScale>
        <cfvo type="min"/>
        <cfvo type="max"/>
        <color theme="0"/>
        <color theme="0" tint="-0.499984740745262"/>
      </colorScale>
    </cfRule>
  </conditionalFormatting>
  <conditionalFormatting sqref="F2:F57">
    <cfRule type="colorScale" priority="65">
      <colorScale>
        <cfvo type="min"/>
        <cfvo type="max"/>
        <color rgb="FFFCFCFF"/>
        <color rgb="FF63BE7B"/>
      </colorScale>
    </cfRule>
  </conditionalFormatting>
  <conditionalFormatting sqref="AG2:AG57">
    <cfRule type="cellIs" dxfId="1" priority="2" operator="lessThan">
      <formula>0</formula>
    </cfRule>
    <cfRule type="cellIs" dxfId="0" priority="3" operator="greaterThanOrEqual">
      <formula>0</formula>
    </cfRule>
  </conditionalFormatting>
  <conditionalFormatting sqref="AD2:AD57">
    <cfRule type="colorScale" priority="4">
      <colorScale>
        <cfvo type="min"/>
        <cfvo type="max"/>
        <color rgb="FFFCFCFF"/>
        <color rgb="FFF8696B"/>
      </colorScale>
    </cfRule>
  </conditionalFormatting>
  <conditionalFormatting sqref="AE2:AE57">
    <cfRule type="colorScale" priority="5">
      <colorScale>
        <cfvo type="min"/>
        <cfvo type="max"/>
        <color theme="0"/>
        <color theme="4" tint="0.39997558519241921"/>
      </colorScale>
    </cfRule>
    <cfRule type="colorScale" priority="6">
      <colorScale>
        <cfvo type="min"/>
        <cfvo type="max"/>
        <color theme="4" tint="0.39997558519241921"/>
        <color theme="0"/>
      </colorScale>
    </cfRule>
  </conditionalFormatting>
  <conditionalFormatting sqref="AF2:AF57">
    <cfRule type="colorScale" priority="7">
      <colorScale>
        <cfvo type="min"/>
        <cfvo type="percentile" val="50"/>
        <cfvo type="max"/>
        <color theme="0"/>
        <color theme="0" tint="-0.499984740745262"/>
        <color rgb="FFFF0000"/>
      </colorScale>
    </cfRule>
  </conditionalFormatting>
  <conditionalFormatting sqref="AJ2:AK57">
    <cfRule type="colorScale" priority="8">
      <colorScale>
        <cfvo type="min"/>
        <cfvo type="max"/>
        <color theme="0"/>
        <color theme="0" tint="-0.499984740745262"/>
      </colorScale>
    </cfRule>
  </conditionalFormatting>
  <conditionalFormatting sqref="AI2:AI5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Goh</dc:creator>
  <cp:lastModifiedBy>Joshua Goh</cp:lastModifiedBy>
  <dcterms:created xsi:type="dcterms:W3CDTF">2024-04-12T18:34:09Z</dcterms:created>
  <dcterms:modified xsi:type="dcterms:W3CDTF">2024-04-14T19:50:03Z</dcterms:modified>
</cp:coreProperties>
</file>